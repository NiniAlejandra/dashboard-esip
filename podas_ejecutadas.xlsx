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AP/Podas/"/>
    </mc:Choice>
  </mc:AlternateContent>
  <xr:revisionPtr revIDLastSave="5" documentId="13_ncr:1_{14BFDE07-31DB-4D4A-9173-D6AC1EFD5653}" xr6:coauthVersionLast="47" xr6:coauthVersionMax="47" xr10:uidLastSave="{C0BD3EF1-EE5B-46A3-9CD7-2B2E694E1F3A}"/>
  <bookViews>
    <workbookView xWindow="-108" yWindow="-108" windowWidth="23256" windowHeight="12456" xr2:uid="{3CA65451-F591-4E2B-AC13-ECE9B1EE09C5}"/>
  </bookViews>
  <sheets>
    <sheet name="Hoja1" sheetId="1" r:id="rId1"/>
  </sheets>
  <definedNames>
    <definedName name="_xlnm._FilterDatabase" localSheetId="0" hidden="1">Hoja1!$A$1:$N$592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92" i="1" l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E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E420" i="1"/>
  <c r="J419" i="1"/>
  <c r="E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S211" i="1"/>
  <c r="R211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E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J2" i="1"/>
</calcChain>
</file>

<file path=xl/sharedStrings.xml><?xml version="1.0" encoding="utf-8"?>
<sst xmlns="http://schemas.openxmlformats.org/spreadsheetml/2006/main" count="3378" uniqueCount="1314">
  <si>
    <t>RADICADO</t>
  </si>
  <si>
    <t>Nombre de Usuario</t>
  </si>
  <si>
    <t>Dirección</t>
  </si>
  <si>
    <t>Barrio</t>
  </si>
  <si>
    <t>Comuna</t>
  </si>
  <si>
    <t>Viabilidad</t>
  </si>
  <si>
    <t>Acción</t>
  </si>
  <si>
    <t>Fecha de inicio</t>
  </si>
  <si>
    <t>Fecha de Respuesta</t>
  </si>
  <si>
    <t>Fecha Limite Poda</t>
  </si>
  <si>
    <t>Fecha de Ejecucion</t>
  </si>
  <si>
    <t>Fecha de cronograma reasigando(AML).</t>
  </si>
  <si>
    <t>Stiker</t>
  </si>
  <si>
    <t>Observación</t>
  </si>
  <si>
    <t>03012025-00007-1</t>
  </si>
  <si>
    <t>CESAR JARAMILLO SILVA</t>
  </si>
  <si>
    <t>Cancha de Futbol</t>
  </si>
  <si>
    <t>Santa Ines</t>
  </si>
  <si>
    <t>EN COLA</t>
  </si>
  <si>
    <t>PODA</t>
  </si>
  <si>
    <t>010572</t>
  </si>
  <si>
    <t>YA EJECUTADA</t>
  </si>
  <si>
    <t>010533</t>
  </si>
  <si>
    <t>010537</t>
  </si>
  <si>
    <t>07012025-00011-1</t>
  </si>
  <si>
    <t>MARGOT MENDEZ</t>
  </si>
  <si>
    <t>Calle 74 A con Carrera 1G</t>
  </si>
  <si>
    <t>El Madrigal</t>
  </si>
  <si>
    <t>068742</t>
  </si>
  <si>
    <t>068744</t>
  </si>
  <si>
    <t>07012025-00012-1</t>
  </si>
  <si>
    <t>FERNANDO GONZALEZ ORTIZ</t>
  </si>
  <si>
    <t>Carrera 8 Bis # 21 - 30</t>
  </si>
  <si>
    <t>Jose Eustacio Rivera</t>
  </si>
  <si>
    <t>POR PROGRAMAR</t>
  </si>
  <si>
    <t>006464</t>
  </si>
  <si>
    <t>POR EJECUTAR</t>
  </si>
  <si>
    <t>07012025-00029-1</t>
  </si>
  <si>
    <t>SANDRA MILENA TRUJILLO</t>
  </si>
  <si>
    <t>08012025-00032-1</t>
  </si>
  <si>
    <t>BENITO MEDRANO</t>
  </si>
  <si>
    <t>Obrero</t>
  </si>
  <si>
    <t>NO VIABLE</t>
  </si>
  <si>
    <t>N/A</t>
  </si>
  <si>
    <t>067579</t>
  </si>
  <si>
    <t>09012025-00044-1</t>
  </si>
  <si>
    <t>SAUL POLANIA CADENA</t>
  </si>
  <si>
    <t>Calle 3 A # 24 A - 07
Calle 3 A # 23 A - 02</t>
  </si>
  <si>
    <t>La Juventud</t>
  </si>
  <si>
    <t>035057</t>
  </si>
  <si>
    <t>062507</t>
  </si>
  <si>
    <t>09012025-00051-1</t>
  </si>
  <si>
    <t>ELCY SALAZAR</t>
  </si>
  <si>
    <t>Calle 3 con carrera 7</t>
  </si>
  <si>
    <t>Estadio Urdaneta</t>
  </si>
  <si>
    <t>011696</t>
  </si>
  <si>
    <t>051018</t>
  </si>
  <si>
    <t>052151</t>
  </si>
  <si>
    <t>038667</t>
  </si>
  <si>
    <t>051909</t>
  </si>
  <si>
    <t>052152</t>
  </si>
  <si>
    <t>052150</t>
  </si>
  <si>
    <t>026068</t>
  </si>
  <si>
    <t>NO CUENTA CON NUEVA SOLICITUD</t>
  </si>
  <si>
    <t>10012025-00058-1</t>
  </si>
  <si>
    <t>XIMENA TORRES</t>
  </si>
  <si>
    <t>Calle 13 con Carrera 40</t>
  </si>
  <si>
    <t>Vergel Bajo</t>
  </si>
  <si>
    <t>031238</t>
  </si>
  <si>
    <t>031224</t>
  </si>
  <si>
    <t>031236</t>
  </si>
  <si>
    <t>031206</t>
  </si>
  <si>
    <t>027941</t>
  </si>
  <si>
    <t>NO CUENTA CON SOLICITUD</t>
  </si>
  <si>
    <t>009175</t>
  </si>
  <si>
    <t>018817</t>
  </si>
  <si>
    <t>3405-35</t>
  </si>
  <si>
    <t>3404-35</t>
  </si>
  <si>
    <t>3402-35</t>
  </si>
  <si>
    <t>022941</t>
  </si>
  <si>
    <t>018850</t>
  </si>
  <si>
    <t>018838</t>
  </si>
  <si>
    <t>10012025-00059-1</t>
  </si>
  <si>
    <t>ELSA ROJAS DE RAMOS</t>
  </si>
  <si>
    <t>Calle 9 # 19 - 49</t>
  </si>
  <si>
    <t>Loma de la Cruz</t>
  </si>
  <si>
    <t>02345</t>
  </si>
  <si>
    <t>023451</t>
  </si>
  <si>
    <t>10012025-00061-1</t>
  </si>
  <si>
    <t>SONIA PERDOMO</t>
  </si>
  <si>
    <t>Carrera 19 # 1C Bis - 05</t>
  </si>
  <si>
    <t>San Martin</t>
  </si>
  <si>
    <t>022653</t>
  </si>
  <si>
    <t>10012025-00066-1</t>
  </si>
  <si>
    <t>RUBIANO ESPAÑA</t>
  </si>
  <si>
    <t>Calle 21 sur # 6 - 15</t>
  </si>
  <si>
    <t>Zonal Industrial</t>
  </si>
  <si>
    <t>023529</t>
  </si>
  <si>
    <t>13012025-00075-1</t>
  </si>
  <si>
    <t>NELSON ZAMORA</t>
  </si>
  <si>
    <t xml:space="preserve">Carrera 29 # 3 - 46 </t>
  </si>
  <si>
    <t>Rafael Uribe</t>
  </si>
  <si>
    <t>011514</t>
  </si>
  <si>
    <t>040538</t>
  </si>
  <si>
    <t>14012025-00085-1</t>
  </si>
  <si>
    <t>AMPARO SANTOS</t>
  </si>
  <si>
    <t>Calle 1 G # 31 - 33</t>
  </si>
  <si>
    <t>Arrayanes</t>
  </si>
  <si>
    <t>018400</t>
  </si>
  <si>
    <t>15012025-00091-1</t>
  </si>
  <si>
    <t>JOSE COLMENARES</t>
  </si>
  <si>
    <t>Calle 47 # 26 - 93</t>
  </si>
  <si>
    <t>Villa Cecilia</t>
  </si>
  <si>
    <t>NO APLICA</t>
  </si>
  <si>
    <t>16012025-00103-1</t>
  </si>
  <si>
    <t>EDOLIO CHARRY</t>
  </si>
  <si>
    <t xml:space="preserve">Calle 24 sur con Carrera 23 A </t>
  </si>
  <si>
    <t>Canaima</t>
  </si>
  <si>
    <t>039981</t>
  </si>
  <si>
    <t>031510</t>
  </si>
  <si>
    <t>16012025-00104-1</t>
  </si>
  <si>
    <t>DORA LILIA RODRIGUEZ</t>
  </si>
  <si>
    <t>Calle 5 entre Carrera 10 A y 11</t>
  </si>
  <si>
    <t>Altico</t>
  </si>
  <si>
    <t>3171-90</t>
  </si>
  <si>
    <t>3172-90</t>
  </si>
  <si>
    <t>3173-90</t>
  </si>
  <si>
    <t>054442</t>
  </si>
  <si>
    <t>3174-90</t>
  </si>
  <si>
    <t>17012025-00106-1</t>
  </si>
  <si>
    <t>JUAN CARLOS RIVERA</t>
  </si>
  <si>
    <t>Carrera 23 # 4B - 109</t>
  </si>
  <si>
    <t xml:space="preserve">Gaitan </t>
  </si>
  <si>
    <t>064788</t>
  </si>
  <si>
    <t>065010</t>
  </si>
  <si>
    <t>17012025-00108-1</t>
  </si>
  <si>
    <t>DIANA MERCEDES MONTEALEGRE</t>
  </si>
  <si>
    <t>Calle 12 # 18 - 37</t>
  </si>
  <si>
    <t>Primero de Mayo</t>
  </si>
  <si>
    <t>3211-35</t>
  </si>
  <si>
    <t>NO CUENTA CON SOLICITUD NUEVA</t>
  </si>
  <si>
    <t>17012025-00114-1</t>
  </si>
  <si>
    <t>ESPERANZA ARANDIA</t>
  </si>
  <si>
    <t>Calle 2 D # 30A - 111</t>
  </si>
  <si>
    <t>022593</t>
  </si>
  <si>
    <t>20012025-00126-1</t>
  </si>
  <si>
    <t>MARIA LEIDY LOSADA</t>
  </si>
  <si>
    <t>Asentamiento Brisas del Venado</t>
  </si>
  <si>
    <t>Brisas del Venado</t>
  </si>
  <si>
    <t>067652</t>
  </si>
  <si>
    <t>028234</t>
  </si>
  <si>
    <t>066766</t>
  </si>
  <si>
    <t>066750</t>
  </si>
  <si>
    <t>20012025-00128-1</t>
  </si>
  <si>
    <t>AMANDA SANCHEZ</t>
  </si>
  <si>
    <t>Carrera 28 con Calle 14 y 15</t>
  </si>
  <si>
    <t xml:space="preserve">Calamari </t>
  </si>
  <si>
    <t>004139</t>
  </si>
  <si>
    <t>021425</t>
  </si>
  <si>
    <t>021457</t>
  </si>
  <si>
    <t>021491</t>
  </si>
  <si>
    <t>023286</t>
  </si>
  <si>
    <t>21012025-00131-1</t>
  </si>
  <si>
    <t>MARIA ERNESTINA AMAYA CASTRO</t>
  </si>
  <si>
    <t>Calle 13 B # 42 - 12</t>
  </si>
  <si>
    <t>Villa Regina</t>
  </si>
  <si>
    <t>21012025-00132-1</t>
  </si>
  <si>
    <t>JOAN SEBASTIAN GARZON GONZALEZ</t>
  </si>
  <si>
    <t>Calle 41 # 25 A - 10</t>
  </si>
  <si>
    <t>Villa Alejandra</t>
  </si>
  <si>
    <t>033689</t>
  </si>
  <si>
    <t>22012025-00135-1</t>
  </si>
  <si>
    <t>ANDRES ARIAS</t>
  </si>
  <si>
    <t>Calle 14 # 1G - 43</t>
  </si>
  <si>
    <t>Los Martires</t>
  </si>
  <si>
    <t>016946</t>
  </si>
  <si>
    <t>019358</t>
  </si>
  <si>
    <t>22012025-00137-1</t>
  </si>
  <si>
    <t>JUDITH NARVAEZ SANCHEZ</t>
  </si>
  <si>
    <t>Calle 14 sur con Carrera 22</t>
  </si>
  <si>
    <t>Arizmendi Mora</t>
  </si>
  <si>
    <t>034332</t>
  </si>
  <si>
    <t>22012025-00139-1</t>
  </si>
  <si>
    <t>ADELA CASTILLO</t>
  </si>
  <si>
    <t>Calle 58 con transversal 7 - 39</t>
  </si>
  <si>
    <t>Cocli</t>
  </si>
  <si>
    <t>035411</t>
  </si>
  <si>
    <t>035402</t>
  </si>
  <si>
    <t>035430</t>
  </si>
  <si>
    <t>22012025-00140-1</t>
  </si>
  <si>
    <t>CAROLINA TAMAYO</t>
  </si>
  <si>
    <t>Calle 18 entre Carrera 7 y 6</t>
  </si>
  <si>
    <t>Quirinal</t>
  </si>
  <si>
    <t>004248</t>
  </si>
  <si>
    <t>23012025-00152-1</t>
  </si>
  <si>
    <t>ALEJANDRA OTALORA</t>
  </si>
  <si>
    <t>Calle 6 B # 23A - 07</t>
  </si>
  <si>
    <t>La Gaitana</t>
  </si>
  <si>
    <t>008733</t>
  </si>
  <si>
    <t>23012025-00153-1</t>
  </si>
  <si>
    <t>ALCIRA SALDAÑA DE ARAGON</t>
  </si>
  <si>
    <t>Calle 75 con Carrera 3</t>
  </si>
  <si>
    <t>Combeima</t>
  </si>
  <si>
    <t>032640</t>
  </si>
  <si>
    <t>067661</t>
  </si>
  <si>
    <t>036744</t>
  </si>
  <si>
    <t>067663</t>
  </si>
  <si>
    <t>24012025-00159-1</t>
  </si>
  <si>
    <t>JAIRO CUMBE</t>
  </si>
  <si>
    <t>Calle 53 # 2W - 63
Calle 52 # 2W - 80</t>
  </si>
  <si>
    <t>Carlos Pizarro</t>
  </si>
  <si>
    <t>24012025-00162-1</t>
  </si>
  <si>
    <t>ALCIRA BARRIOS</t>
  </si>
  <si>
    <t>Calle 25 # 5 Bis - 05</t>
  </si>
  <si>
    <t>Sevilla</t>
  </si>
  <si>
    <t>011266</t>
  </si>
  <si>
    <t>27012025-00172-1</t>
  </si>
  <si>
    <t>ANDRES PERDOMO</t>
  </si>
  <si>
    <t>Calle 12 # 34A - 18</t>
  </si>
  <si>
    <t>La Indepencia</t>
  </si>
  <si>
    <t>024823</t>
  </si>
  <si>
    <t>024862</t>
  </si>
  <si>
    <t>28012025-00181-1</t>
  </si>
  <si>
    <t>TATIANA VARGAS FERNANDEZ</t>
  </si>
  <si>
    <t>Carrera 14 # 5 - 07</t>
  </si>
  <si>
    <t>026783</t>
  </si>
  <si>
    <t>28012025-00183-1</t>
  </si>
  <si>
    <t>DORIS ROCHA</t>
  </si>
  <si>
    <t xml:space="preserve">Carrera 1W # 41 - 26 </t>
  </si>
  <si>
    <t>010306</t>
  </si>
  <si>
    <t>30012025-00201-1</t>
  </si>
  <si>
    <t>AMPARO MORENO</t>
  </si>
  <si>
    <t>Calle 6 con Carrera 18</t>
  </si>
  <si>
    <t>Calixto</t>
  </si>
  <si>
    <t>037150</t>
  </si>
  <si>
    <t>009010</t>
  </si>
  <si>
    <t>037164</t>
  </si>
  <si>
    <t>31012025-00212-1</t>
  </si>
  <si>
    <t>LUIS HENRY ESCOBAR</t>
  </si>
  <si>
    <t>Carrera 1 E # 82 - 18</t>
  </si>
  <si>
    <t>Villa Colombia</t>
  </si>
  <si>
    <t>011790</t>
  </si>
  <si>
    <t>012087</t>
  </si>
  <si>
    <t>026505</t>
  </si>
  <si>
    <t>011108</t>
  </si>
  <si>
    <t>012059</t>
  </si>
  <si>
    <t>012062</t>
  </si>
  <si>
    <t>016497</t>
  </si>
  <si>
    <t>016813</t>
  </si>
  <si>
    <t>016450</t>
  </si>
  <si>
    <t>31012025-00213-1</t>
  </si>
  <si>
    <t>SOFIA BAHAMON DE VARGAS</t>
  </si>
  <si>
    <t>Calle 25 B # 8AW - 28</t>
  </si>
  <si>
    <t>Villa del Rio</t>
  </si>
  <si>
    <t>016356</t>
  </si>
  <si>
    <t>31012025-00214-1</t>
  </si>
  <si>
    <t>LEIDY JOHANNA SANCHEZ VILLABON</t>
  </si>
  <si>
    <t>Polideportivo y Parque Infantil</t>
  </si>
  <si>
    <t>Las Palmas</t>
  </si>
  <si>
    <t>03022025-00222-1</t>
  </si>
  <si>
    <t>MARTHA LILIANA CONDE GALINDO</t>
  </si>
  <si>
    <t>Calle 71 A # 24 - 06</t>
  </si>
  <si>
    <t>La Trinidad</t>
  </si>
  <si>
    <t>044562</t>
  </si>
  <si>
    <t>03022025-00223-1</t>
  </si>
  <si>
    <t>ROSALBA GAMBOA</t>
  </si>
  <si>
    <t>Calle 51 desde la Calle 26 hasta la 28</t>
  </si>
  <si>
    <t>Quintas de San Luis</t>
  </si>
  <si>
    <t>3122-150</t>
  </si>
  <si>
    <t>ID 1719906</t>
  </si>
  <si>
    <t>LUMINARIA NO ENCONTRADA</t>
  </si>
  <si>
    <t>3124-150</t>
  </si>
  <si>
    <t>ID 1719908</t>
  </si>
  <si>
    <t>2927-60</t>
  </si>
  <si>
    <t>ID 1720909</t>
  </si>
  <si>
    <t>050955</t>
  </si>
  <si>
    <t>ID 1658929</t>
  </si>
  <si>
    <t>051075</t>
  </si>
  <si>
    <t>ID 1737774</t>
  </si>
  <si>
    <t>03022025-00224-1</t>
  </si>
  <si>
    <t>JHON ALVAREZ</t>
  </si>
  <si>
    <t>Calle 51 # 27 - 13</t>
  </si>
  <si>
    <t>064053</t>
  </si>
  <si>
    <t>064092</t>
  </si>
  <si>
    <t>003122</t>
  </si>
  <si>
    <t>003124</t>
  </si>
  <si>
    <t>011437</t>
  </si>
  <si>
    <t>003125</t>
  </si>
  <si>
    <t>03022025-00226-1</t>
  </si>
  <si>
    <t>LUIS EDUARDO FERREIRA</t>
  </si>
  <si>
    <t xml:space="preserve">Carrera 52 </t>
  </si>
  <si>
    <t>Siglo XXI</t>
  </si>
  <si>
    <t>040036</t>
  </si>
  <si>
    <t>069581</t>
  </si>
  <si>
    <t>069580</t>
  </si>
  <si>
    <t>069584</t>
  </si>
  <si>
    <t>069551</t>
  </si>
  <si>
    <t>069563</t>
  </si>
  <si>
    <t>069562</t>
  </si>
  <si>
    <t>069595</t>
  </si>
  <si>
    <t>069596</t>
  </si>
  <si>
    <t>03022025-00227-1</t>
  </si>
  <si>
    <t>MARIA PIEDAD RAMIREZ</t>
  </si>
  <si>
    <t>Parque Principal</t>
  </si>
  <si>
    <t>Limonar</t>
  </si>
  <si>
    <t>062058</t>
  </si>
  <si>
    <t>ID 1763132</t>
  </si>
  <si>
    <t>3240-35</t>
  </si>
  <si>
    <t>ID 1721419</t>
  </si>
  <si>
    <t>3223-35</t>
  </si>
  <si>
    <t>ID 1721400</t>
  </si>
  <si>
    <t>04022025-00230-1</t>
  </si>
  <si>
    <t xml:space="preserve">MARIA RUTH CAVIEDES </t>
  </si>
  <si>
    <t>033243</t>
  </si>
  <si>
    <t>065607</t>
  </si>
  <si>
    <t>065649</t>
  </si>
  <si>
    <t>033254</t>
  </si>
  <si>
    <t>065758</t>
  </si>
  <si>
    <t>06022025-00243-1</t>
  </si>
  <si>
    <t>DIETRICH ROJAS</t>
  </si>
  <si>
    <t>Calle 14 # 16 - 22</t>
  </si>
  <si>
    <t>022820</t>
  </si>
  <si>
    <t>06022025-00245-1</t>
  </si>
  <si>
    <t>JOSE ALIRIO MORENO CARVAJAL</t>
  </si>
  <si>
    <t>Calle 25 B entre Carreras 51B y 51D</t>
  </si>
  <si>
    <t>Enrique Olaya Herrera</t>
  </si>
  <si>
    <t>069555</t>
  </si>
  <si>
    <t>062901</t>
  </si>
  <si>
    <t>062905</t>
  </si>
  <si>
    <t>062910</t>
  </si>
  <si>
    <t>062902</t>
  </si>
  <si>
    <t>062906</t>
  </si>
  <si>
    <t>062907</t>
  </si>
  <si>
    <t>069556</t>
  </si>
  <si>
    <t>069552</t>
  </si>
  <si>
    <t>040552</t>
  </si>
  <si>
    <t>039497</t>
  </si>
  <si>
    <t>050653</t>
  </si>
  <si>
    <t>07022025-00249-1</t>
  </si>
  <si>
    <t xml:space="preserve">MARIA VICTORIA ROJAS GONZALEZ  </t>
  </si>
  <si>
    <t>Carrera 1 C # 41 - 32</t>
  </si>
  <si>
    <t>Candido</t>
  </si>
  <si>
    <t>3119-35</t>
  </si>
  <si>
    <t>10022025-00261-1</t>
  </si>
  <si>
    <t>ANDREY AVILA</t>
  </si>
  <si>
    <t>Calle 21 con Carrera 46A y 47</t>
  </si>
  <si>
    <t>La Rioja</t>
  </si>
  <si>
    <t>027331</t>
  </si>
  <si>
    <t>010752</t>
  </si>
  <si>
    <t>10022025-00269-1</t>
  </si>
  <si>
    <t>ROSALVIRA RIVERA</t>
  </si>
  <si>
    <t>Carrera 48 con Calle 18 A</t>
  </si>
  <si>
    <t>Villa Café</t>
  </si>
  <si>
    <t>022309</t>
  </si>
  <si>
    <t>053467</t>
  </si>
  <si>
    <t>11022025-00284-1</t>
  </si>
  <si>
    <t>Calle 18 A entre Carrera 6 y Carrea 7</t>
  </si>
  <si>
    <t>004155</t>
  </si>
  <si>
    <t>12022025-00302-1</t>
  </si>
  <si>
    <t xml:space="preserve">CARLOS ANDRES TAFUR </t>
  </si>
  <si>
    <t>Calle 14 entre Carrera 10 y 12</t>
  </si>
  <si>
    <t>Chapinero</t>
  </si>
  <si>
    <t>062522</t>
  </si>
  <si>
    <t>062188</t>
  </si>
  <si>
    <t>13022025-00304-1</t>
  </si>
  <si>
    <t>CLARA ROSA HERRERA</t>
  </si>
  <si>
    <t>Calle 34 con Carrera 9</t>
  </si>
  <si>
    <t>Los Cambulos</t>
  </si>
  <si>
    <t>036414</t>
  </si>
  <si>
    <t>13022025-00310-1</t>
  </si>
  <si>
    <t>Calle 25 con Carrera 5 A Bis</t>
  </si>
  <si>
    <t>011869</t>
  </si>
  <si>
    <t>17022025-00334-1</t>
  </si>
  <si>
    <t>LUBI CORREA GARCIA</t>
  </si>
  <si>
    <t>Calle 1 H # 36 - 118</t>
  </si>
  <si>
    <t>Los Alpes</t>
  </si>
  <si>
    <t>006418</t>
  </si>
  <si>
    <t>17022025-00339-1</t>
  </si>
  <si>
    <t>JAVIER GONZALEZ</t>
  </si>
  <si>
    <t>Carrera 21 con Calle 11</t>
  </si>
  <si>
    <t>Santa Isabel</t>
  </si>
  <si>
    <t>037268</t>
  </si>
  <si>
    <t>17022025-00345-1</t>
  </si>
  <si>
    <t>CARMEN RODRIGUEZ</t>
  </si>
  <si>
    <t>Carrera 24 B y 25 B con Calle 41 y 42</t>
  </si>
  <si>
    <t>Villa Laurel</t>
  </si>
  <si>
    <t>032049</t>
  </si>
  <si>
    <t xml:space="preserve">ID 1631138 </t>
  </si>
  <si>
    <t>033928</t>
  </si>
  <si>
    <t xml:space="preserve">ID 1659294 </t>
  </si>
  <si>
    <t>033514</t>
  </si>
  <si>
    <t>ID 1659281</t>
  </si>
  <si>
    <t>033546</t>
  </si>
  <si>
    <t>ID 1652538</t>
  </si>
  <si>
    <t>033549</t>
  </si>
  <si>
    <t>ID 1659268</t>
  </si>
  <si>
    <t>033687</t>
  </si>
  <si>
    <t>ID 1652537</t>
  </si>
  <si>
    <t>033678</t>
  </si>
  <si>
    <t>ID 1659269</t>
  </si>
  <si>
    <t>033695</t>
  </si>
  <si>
    <t>ID 1659420</t>
  </si>
  <si>
    <t>050654</t>
  </si>
  <si>
    <t>ID 1721764</t>
  </si>
  <si>
    <t>005244</t>
  </si>
  <si>
    <t>ID 1655125</t>
  </si>
  <si>
    <t>011360</t>
  </si>
  <si>
    <t>ID 1721765</t>
  </si>
  <si>
    <t>033672</t>
  </si>
  <si>
    <t>ID 1659421</t>
  </si>
  <si>
    <t>033681</t>
  </si>
  <si>
    <t>ID 1643365</t>
  </si>
  <si>
    <t>033696</t>
  </si>
  <si>
    <t>ID 1659297</t>
  </si>
  <si>
    <t>033542</t>
  </si>
  <si>
    <t>ID 1659295</t>
  </si>
  <si>
    <t>18022025-00349-1</t>
  </si>
  <si>
    <t>LUIS GOMEZ</t>
  </si>
  <si>
    <t>Calle 1 H # 36 A - 34</t>
  </si>
  <si>
    <t>ID 1650231</t>
  </si>
  <si>
    <t>017554</t>
  </si>
  <si>
    <t>017346</t>
  </si>
  <si>
    <t>18022025-00350-1</t>
  </si>
  <si>
    <t>PERSONERIA DE NEIVA</t>
  </si>
  <si>
    <t>Calle 11 con Carrera 34 y 35
Carrera 38 con Calle 12</t>
  </si>
  <si>
    <t>2973-100</t>
  </si>
  <si>
    <t>2968-100</t>
  </si>
  <si>
    <t>ID 1635549</t>
  </si>
  <si>
    <t>2964-100</t>
  </si>
  <si>
    <t>ID 1635545</t>
  </si>
  <si>
    <t>2963-100</t>
  </si>
  <si>
    <t>ID 1635544</t>
  </si>
  <si>
    <t>18022025-00351-1</t>
  </si>
  <si>
    <t>Calle 3 con Carrera 7</t>
  </si>
  <si>
    <t>NUEVAMENTE PROGRAMADA</t>
  </si>
  <si>
    <t>18022025-00352-1</t>
  </si>
  <si>
    <t>MARIA NELLY ESCOBAR</t>
  </si>
  <si>
    <t>Calle 24 # 5 B - 04</t>
  </si>
  <si>
    <t>Antonio Baraya</t>
  </si>
  <si>
    <t>040286</t>
  </si>
  <si>
    <t>040405</t>
  </si>
  <si>
    <t>20022025-00370-1</t>
  </si>
  <si>
    <t>NOLBERTO GONZALEZ VELASCO</t>
  </si>
  <si>
    <t xml:space="preserve">Carrera 7 # 25 - 23 </t>
  </si>
  <si>
    <t>Villa Patricia</t>
  </si>
  <si>
    <t>018677</t>
  </si>
  <si>
    <t>21022025-00379-1</t>
  </si>
  <si>
    <t>MARTHA LESMES</t>
  </si>
  <si>
    <t>Carrera 22 con Calle 16</t>
  </si>
  <si>
    <t>La Libertad</t>
  </si>
  <si>
    <t>008162</t>
  </si>
  <si>
    <t>21022025-00380-1</t>
  </si>
  <si>
    <t>NILSON GARZON</t>
  </si>
  <si>
    <t>Calle 21 sur # 6 - 23</t>
  </si>
  <si>
    <t>Zona Industrial</t>
  </si>
  <si>
    <t>066272</t>
  </si>
  <si>
    <t>026498</t>
  </si>
  <si>
    <t>21022025-00382-1</t>
  </si>
  <si>
    <t>JUAN OSORIO</t>
  </si>
  <si>
    <t>21022025-00389-1</t>
  </si>
  <si>
    <t>HERNEY MAURICIO OSPINA MORALES</t>
  </si>
  <si>
    <t xml:space="preserve">Calle 45 con Carrera 1 D </t>
  </si>
  <si>
    <t>019723</t>
  </si>
  <si>
    <t>24022025-00398-1</t>
  </si>
  <si>
    <t>FABIAN SANTOS</t>
  </si>
  <si>
    <t xml:space="preserve">Calle 24 A # 49 - 05 </t>
  </si>
  <si>
    <t>Villa Nadia</t>
  </si>
  <si>
    <t>064578</t>
  </si>
  <si>
    <t>039211</t>
  </si>
  <si>
    <t>032292</t>
  </si>
  <si>
    <t>019530</t>
  </si>
  <si>
    <t>019551</t>
  </si>
  <si>
    <t>064514</t>
  </si>
  <si>
    <t>24022025-00399-1</t>
  </si>
  <si>
    <t>Carrera 38 con Calle 13</t>
  </si>
  <si>
    <t>018117</t>
  </si>
  <si>
    <t>25022025-00409-1</t>
  </si>
  <si>
    <t>PATY REYES</t>
  </si>
  <si>
    <t>Calle 1 A # 15 B - 36</t>
  </si>
  <si>
    <t>026200</t>
  </si>
  <si>
    <t>25022025-00410-1</t>
  </si>
  <si>
    <t>ERIKA PAOLA PORTILLA CUELLAR</t>
  </si>
  <si>
    <t>Calle 64 con Carrera 3</t>
  </si>
  <si>
    <t>Villa Magdalena</t>
  </si>
  <si>
    <t>041457</t>
  </si>
  <si>
    <t>27022025-00429-1</t>
  </si>
  <si>
    <t>LORENA PATRICIA TRUJILLO</t>
  </si>
  <si>
    <t>Parque Infantil y Ciclo-ruta</t>
  </si>
  <si>
    <t>Aeropuerto</t>
  </si>
  <si>
    <t>3623-150</t>
  </si>
  <si>
    <t>018871</t>
  </si>
  <si>
    <t>1925-100</t>
  </si>
  <si>
    <t>28022025-00432-1</t>
  </si>
  <si>
    <t>OSMERL RICARDO GONZALEZ MANRIQUE</t>
  </si>
  <si>
    <t>Carrera 17 con Calle 7 A sur</t>
  </si>
  <si>
    <t>Emaya</t>
  </si>
  <si>
    <t>003368</t>
  </si>
  <si>
    <t>28022025-00433-1</t>
  </si>
  <si>
    <t>RUBI LORENA MEDINA FACUNDO</t>
  </si>
  <si>
    <t>Calle 1 B # 16 - 02</t>
  </si>
  <si>
    <t>024176</t>
  </si>
  <si>
    <t>03032025-00438-1</t>
  </si>
  <si>
    <t>TERESA DE JESUS GAITAN</t>
  </si>
  <si>
    <t>Calle 85 # 4 - 15</t>
  </si>
  <si>
    <t>Luis Ignacio Andrade</t>
  </si>
  <si>
    <t>050423</t>
  </si>
  <si>
    <t>030061</t>
  </si>
  <si>
    <t>054047</t>
  </si>
  <si>
    <t>030070</t>
  </si>
  <si>
    <t>03032025-00440-1</t>
  </si>
  <si>
    <t>MARIO SOTELO</t>
  </si>
  <si>
    <t>Calle 18 # 22 - 09</t>
  </si>
  <si>
    <t>054199</t>
  </si>
  <si>
    <t>ID  1653518</t>
  </si>
  <si>
    <t>03032025-00450-1</t>
  </si>
  <si>
    <t>ARISTIZABAL ROJAS</t>
  </si>
  <si>
    <t>Carrera 10 W con Calles 31 y 32</t>
  </si>
  <si>
    <t>El Triangulo</t>
  </si>
  <si>
    <t>OK</t>
  </si>
  <si>
    <t>019495</t>
  </si>
  <si>
    <t>009692</t>
  </si>
  <si>
    <t>05032025-00463-1</t>
  </si>
  <si>
    <t>JOAQUIN EMILIO GARCIA</t>
  </si>
  <si>
    <t>Polideportivo</t>
  </si>
  <si>
    <t>Salitre</t>
  </si>
  <si>
    <t>032081</t>
  </si>
  <si>
    <t>030265</t>
  </si>
  <si>
    <t>039989</t>
  </si>
  <si>
    <t>066423</t>
  </si>
  <si>
    <t>043393</t>
  </si>
  <si>
    <t>066620</t>
  </si>
  <si>
    <t>05032025-00465-1</t>
  </si>
  <si>
    <t>JOSE BUSTOS</t>
  </si>
  <si>
    <t>Calle 70 B con Carrera 24</t>
  </si>
  <si>
    <t>042968</t>
  </si>
  <si>
    <t>05032025-00469-1</t>
  </si>
  <si>
    <t>LUIS FERNANDO VEGA TRUJILLO</t>
  </si>
  <si>
    <t>Carrera 36 # 1E - 09</t>
  </si>
  <si>
    <t>017352</t>
  </si>
  <si>
    <t>05032025-00475-1</t>
  </si>
  <si>
    <t>COMPRAVENTA RUTBER</t>
  </si>
  <si>
    <t>Calle 2 J # 21 A - 25</t>
  </si>
  <si>
    <t>La Isla</t>
  </si>
  <si>
    <t>026701</t>
  </si>
  <si>
    <t>07032025-00483-1</t>
  </si>
  <si>
    <t>CARLOS ARTURO RIVERA</t>
  </si>
  <si>
    <t>Carrera 19 y 20 - Calle 5 A y 5 B</t>
  </si>
  <si>
    <t>008282</t>
  </si>
  <si>
    <t>008274</t>
  </si>
  <si>
    <t>008295</t>
  </si>
  <si>
    <t>10032025-00497-1</t>
  </si>
  <si>
    <t>MARIA ANGELICA CRUZ PERDOMO</t>
  </si>
  <si>
    <t>Calle 20 C sur con Carrera 36</t>
  </si>
  <si>
    <t>010494</t>
  </si>
  <si>
    <t>012151</t>
  </si>
  <si>
    <t>012110</t>
  </si>
  <si>
    <t>10032025-00499-1</t>
  </si>
  <si>
    <t>NELSON ALBERTO BAHAMON DUSSAN</t>
  </si>
  <si>
    <t xml:space="preserve">Carrera 8 B # 15 - 34 </t>
  </si>
  <si>
    <t>Campo Núñez</t>
  </si>
  <si>
    <t>004561</t>
  </si>
  <si>
    <t>10032025-00502-1</t>
  </si>
  <si>
    <t>FRANCO ARCELY TRILLERAS ROJAS</t>
  </si>
  <si>
    <t xml:space="preserve">Carrera 51 A # 29 - 65 </t>
  </si>
  <si>
    <t>Oro Negro</t>
  </si>
  <si>
    <t>039103</t>
  </si>
  <si>
    <t>10032025-00506-1</t>
  </si>
  <si>
    <t>HERNANDO HURTADO</t>
  </si>
  <si>
    <t>Calle 56 B # 1 A - 07</t>
  </si>
  <si>
    <t>Las Mercedes</t>
  </si>
  <si>
    <t>005471</t>
  </si>
  <si>
    <t>11032025-00509-1</t>
  </si>
  <si>
    <t>LEANDRO ADAMES</t>
  </si>
  <si>
    <t>Carrera 37 Calle 23 sur y 23 A sur</t>
  </si>
  <si>
    <t>Altos del Limonar</t>
  </si>
  <si>
    <t>039646</t>
  </si>
  <si>
    <t>11032025-00519-1</t>
  </si>
  <si>
    <t>JESUS MUÑOZ</t>
  </si>
  <si>
    <t xml:space="preserve">Calle 30 con Carrera 1 A </t>
  </si>
  <si>
    <t>023134</t>
  </si>
  <si>
    <t>12032025-00532-1</t>
  </si>
  <si>
    <t>MONICA TATIANA PERDOMO PEREZ</t>
  </si>
  <si>
    <t xml:space="preserve">Carrera 38 C Diagonal 20 -43 </t>
  </si>
  <si>
    <t xml:space="preserve">Los Guaduales </t>
  </si>
  <si>
    <t>016912</t>
  </si>
  <si>
    <t>003406</t>
  </si>
  <si>
    <t>12032025-00533-1</t>
  </si>
  <si>
    <t>BENJAMIN MONTEALEGRE</t>
  </si>
  <si>
    <t xml:space="preserve">Calle 2 B </t>
  </si>
  <si>
    <t>Alfonso Lopez</t>
  </si>
  <si>
    <t>066389</t>
  </si>
  <si>
    <t>12032025-00534-1</t>
  </si>
  <si>
    <t>JORGE BARRIOS</t>
  </si>
  <si>
    <t>Via Caguan</t>
  </si>
  <si>
    <t>Caguan</t>
  </si>
  <si>
    <t>067907</t>
  </si>
  <si>
    <t>067997</t>
  </si>
  <si>
    <t>067924</t>
  </si>
  <si>
    <t>067996</t>
  </si>
  <si>
    <t>067998</t>
  </si>
  <si>
    <t>067937</t>
  </si>
  <si>
    <t>067932</t>
  </si>
  <si>
    <t>028260</t>
  </si>
  <si>
    <t>067621</t>
  </si>
  <si>
    <t>067604</t>
  </si>
  <si>
    <t>067655</t>
  </si>
  <si>
    <t>067651</t>
  </si>
  <si>
    <t>067657</t>
  </si>
  <si>
    <t>067626</t>
  </si>
  <si>
    <t>067625</t>
  </si>
  <si>
    <t>067641</t>
  </si>
  <si>
    <t>067925</t>
  </si>
  <si>
    <t>067939</t>
  </si>
  <si>
    <t>037405</t>
  </si>
  <si>
    <t>067917</t>
  </si>
  <si>
    <t>067769</t>
  </si>
  <si>
    <t>067773</t>
  </si>
  <si>
    <t>067908</t>
  </si>
  <si>
    <t>067852</t>
  </si>
  <si>
    <t>067772</t>
  </si>
  <si>
    <t>067771</t>
  </si>
  <si>
    <t>067643</t>
  </si>
  <si>
    <t>067647</t>
  </si>
  <si>
    <t>067648</t>
  </si>
  <si>
    <t>067645</t>
  </si>
  <si>
    <t>067631</t>
  </si>
  <si>
    <t>067686</t>
  </si>
  <si>
    <t>067644</t>
  </si>
  <si>
    <t>067624</t>
  </si>
  <si>
    <t>067682</t>
  </si>
  <si>
    <t>067650</t>
  </si>
  <si>
    <t>067654</t>
  </si>
  <si>
    <t>065197</t>
  </si>
  <si>
    <t>065127</t>
  </si>
  <si>
    <t>065112</t>
  </si>
  <si>
    <t>12032025-00535-1</t>
  </si>
  <si>
    <t xml:space="preserve">LINA DIAZ </t>
  </si>
  <si>
    <t>Calle 64 con Carrera25</t>
  </si>
  <si>
    <t>053174</t>
  </si>
  <si>
    <t>035207</t>
  </si>
  <si>
    <t>040573</t>
  </si>
  <si>
    <t>040567</t>
  </si>
  <si>
    <t>021944</t>
  </si>
  <si>
    <t>035278</t>
  </si>
  <si>
    <t>035258</t>
  </si>
  <si>
    <t>035272</t>
  </si>
  <si>
    <t>035273</t>
  </si>
  <si>
    <t>040560</t>
  </si>
  <si>
    <t>040559</t>
  </si>
  <si>
    <t>040571</t>
  </si>
  <si>
    <t>040553</t>
  </si>
  <si>
    <t>035255</t>
  </si>
  <si>
    <t>040555</t>
  </si>
  <si>
    <t>13032025-00547-1</t>
  </si>
  <si>
    <t>EDWIN ALIRIO SANABRIA BUSTOS</t>
  </si>
  <si>
    <t>Carrera 23 con Calle 51</t>
  </si>
  <si>
    <t>La Victoria</t>
  </si>
  <si>
    <t>Carrera 10 W # 25 I Bis - 26</t>
  </si>
  <si>
    <t>019036</t>
  </si>
  <si>
    <t>016068</t>
  </si>
  <si>
    <t>13032025-00551-1</t>
  </si>
  <si>
    <t>LUIS ALBERTO OLIVERA</t>
  </si>
  <si>
    <t>Calle 41 # 1 A -111</t>
  </si>
  <si>
    <t>019720</t>
  </si>
  <si>
    <t>019716</t>
  </si>
  <si>
    <t>61751</t>
  </si>
  <si>
    <t>062120</t>
  </si>
  <si>
    <t>062117</t>
  </si>
  <si>
    <t>019945</t>
  </si>
  <si>
    <t>13032025-00558-1</t>
  </si>
  <si>
    <t>MARIA LUISA VIDAL LEMUS</t>
  </si>
  <si>
    <t>Carrera 12 # 5 - 09</t>
  </si>
  <si>
    <t>025270</t>
  </si>
  <si>
    <t>14032025-00564-1</t>
  </si>
  <si>
    <t>DIANA VARGAS</t>
  </si>
  <si>
    <t>Calle 1 H # 36 - 34</t>
  </si>
  <si>
    <t>14032025-00568-1</t>
  </si>
  <si>
    <t>LUIS FERNANDO ANDRADE AVILES</t>
  </si>
  <si>
    <t>Carrera 5 A # 86 A - 28</t>
  </si>
  <si>
    <t>066466</t>
  </si>
  <si>
    <t>17032025-00573-1</t>
  </si>
  <si>
    <t>JOHANNA LIZETH LOPEZ CHIMBACO</t>
  </si>
  <si>
    <t>Calle 19 sur con Carrera 31</t>
  </si>
  <si>
    <t>019105</t>
  </si>
  <si>
    <t>17032025-00579-1</t>
  </si>
  <si>
    <t xml:space="preserve">GUSTAVO PERDOMO </t>
  </si>
  <si>
    <t>Carrera 13 con Transversal 15</t>
  </si>
  <si>
    <t>Timanco</t>
  </si>
  <si>
    <t>024520</t>
  </si>
  <si>
    <t>17032025-00580-1</t>
  </si>
  <si>
    <t>CLAUDIA IBARRA</t>
  </si>
  <si>
    <t>Calle 73 A # 3 A - 46</t>
  </si>
  <si>
    <t>Tercer Milenio</t>
  </si>
  <si>
    <t>007536</t>
  </si>
  <si>
    <t>064076</t>
  </si>
  <si>
    <t>18032025-00592-1</t>
  </si>
  <si>
    <t>DIANA VICTORIA AVILES</t>
  </si>
  <si>
    <t>Carrera 35 # 11 - 55</t>
  </si>
  <si>
    <t>018847</t>
  </si>
  <si>
    <t>31597</t>
  </si>
  <si>
    <t>018804</t>
  </si>
  <si>
    <t>018857</t>
  </si>
  <si>
    <t>19032025-00596-1</t>
  </si>
  <si>
    <t>JAIME SOLANO SANCHEZ</t>
  </si>
  <si>
    <t>Carrera 8 con Calle 30 y 31</t>
  </si>
  <si>
    <t>Las Granjas</t>
  </si>
  <si>
    <t>041263</t>
  </si>
  <si>
    <t>20032025-00600-1</t>
  </si>
  <si>
    <t>RAMONA MEDINA</t>
  </si>
  <si>
    <t>Calle 22 con Carrera 1 F</t>
  </si>
  <si>
    <t>La Cordialidad</t>
  </si>
  <si>
    <t>008928</t>
  </si>
  <si>
    <t>20032025-00601-1</t>
  </si>
  <si>
    <t>MARCELA GARCIA</t>
  </si>
  <si>
    <t>Calle 21 # 60 A - 33</t>
  </si>
  <si>
    <t>069453</t>
  </si>
  <si>
    <t>NO REQUIERE</t>
  </si>
  <si>
    <t>20032025-00602-1</t>
  </si>
  <si>
    <t>Calle 25 C con Carrera 6</t>
  </si>
  <si>
    <t>018878</t>
  </si>
  <si>
    <t>21032025-00608-1</t>
  </si>
  <si>
    <t>JOAQUIN CABRERA</t>
  </si>
  <si>
    <t>Calle 7 # 20 - 30</t>
  </si>
  <si>
    <t>Buena Vista</t>
  </si>
  <si>
    <t>027166</t>
  </si>
  <si>
    <t>027160</t>
  </si>
  <si>
    <t>027188</t>
  </si>
  <si>
    <t>027142</t>
  </si>
  <si>
    <t>25032025-00624-1</t>
  </si>
  <si>
    <t>SONIA PERDOMO LOSADA</t>
  </si>
  <si>
    <t>Carrera 19 # 1 C Bis - 05</t>
  </si>
  <si>
    <t>022643</t>
  </si>
  <si>
    <t>25032025-00630-1</t>
  </si>
  <si>
    <t xml:space="preserve">JOSE DARIO RODRIGUEZ GUTIERREZ </t>
  </si>
  <si>
    <t>Calle 12 # 32 - 31</t>
  </si>
  <si>
    <t>Las Catleyas</t>
  </si>
  <si>
    <t>007564</t>
  </si>
  <si>
    <t>26032025-00639-1</t>
  </si>
  <si>
    <t>FRANCISCO PERDOMO</t>
  </si>
  <si>
    <t>Carrera 6 W # 28 A - 16</t>
  </si>
  <si>
    <t>017631</t>
  </si>
  <si>
    <t>26032025-00644-1</t>
  </si>
  <si>
    <t>RUBY BECERRA</t>
  </si>
  <si>
    <t>Carrera 2 # 34 - 77</t>
  </si>
  <si>
    <t>020526</t>
  </si>
  <si>
    <t>26032025-00645-1</t>
  </si>
  <si>
    <t>INGRID STEFANY TOVAR ANDRADE</t>
  </si>
  <si>
    <t>Carrera 38 # 13 - 33</t>
  </si>
  <si>
    <t>022940</t>
  </si>
  <si>
    <t>26032025-00648-1</t>
  </si>
  <si>
    <t>YANETH GARCIA RAMIREZ</t>
  </si>
  <si>
    <t>Calle 1 G # 18 - 44</t>
  </si>
  <si>
    <t>Ventilador</t>
  </si>
  <si>
    <t>021045</t>
  </si>
  <si>
    <t>27032025-00651-1</t>
  </si>
  <si>
    <t>FRANKLIN NAVARRO</t>
  </si>
  <si>
    <t>Calle 51 # 23 - 62</t>
  </si>
  <si>
    <t>Venecia</t>
  </si>
  <si>
    <t>035213</t>
  </si>
  <si>
    <t>035267</t>
  </si>
  <si>
    <t>035253</t>
  </si>
  <si>
    <t>27032025-00652-1</t>
  </si>
  <si>
    <t>LUIS FRANCISCO CAICEDO</t>
  </si>
  <si>
    <t>Calle 5 # 28 - 06</t>
  </si>
  <si>
    <t>Conjunto Bella Vista</t>
  </si>
  <si>
    <t>062759</t>
  </si>
  <si>
    <t>062761</t>
  </si>
  <si>
    <t>017928</t>
  </si>
  <si>
    <t>27032025-00658-1</t>
  </si>
  <si>
    <t>LEONILDE DÍAZ</t>
  </si>
  <si>
    <t>Calle 14 B # 33 A - 14</t>
  </si>
  <si>
    <t>La Orquidea</t>
  </si>
  <si>
    <t>003838</t>
  </si>
  <si>
    <t>28032025-00664-1</t>
  </si>
  <si>
    <t>MARTHA CECILIA MENDEZ</t>
  </si>
  <si>
    <t>Carrera 5 AW # 28 - 03</t>
  </si>
  <si>
    <t>019443</t>
  </si>
  <si>
    <t>28032025-00668-1</t>
  </si>
  <si>
    <t>MARITZA GAITAN PEÑA</t>
  </si>
  <si>
    <t>Calamari</t>
  </si>
  <si>
    <t>--</t>
  </si>
  <si>
    <t>NO CUENTA CON STICKER</t>
  </si>
  <si>
    <t>31032025-00669-1</t>
  </si>
  <si>
    <t>CARLOS ANDRES TAFUR FLOREZ</t>
  </si>
  <si>
    <t>Calle 14 # 10 - 22</t>
  </si>
  <si>
    <t>ID 1630656</t>
  </si>
  <si>
    <t>ID 1630655</t>
  </si>
  <si>
    <t>31032025-00674-1</t>
  </si>
  <si>
    <t>YAMID ARIAS</t>
  </si>
  <si>
    <t>037016</t>
  </si>
  <si>
    <t>037096</t>
  </si>
  <si>
    <t>31032025-00676-1</t>
  </si>
  <si>
    <t>GERLADINE BEDOYA ORTIZ</t>
  </si>
  <si>
    <t>Calle 58 # 1 W - 98</t>
  </si>
  <si>
    <t>Condominio Ipacarai II</t>
  </si>
  <si>
    <t>005497</t>
  </si>
  <si>
    <t>006976</t>
  </si>
  <si>
    <t>050892</t>
  </si>
  <si>
    <t>006907</t>
  </si>
  <si>
    <t>027342</t>
  </si>
  <si>
    <t>01042025-00682-1</t>
  </si>
  <si>
    <t>OSCAR PUENTES MEDINA</t>
  </si>
  <si>
    <t>Carrera 2 AW entre calle 28 y 29</t>
  </si>
  <si>
    <t>017673</t>
  </si>
  <si>
    <t>01042025-00685-1</t>
  </si>
  <si>
    <t>MARTHA HERNANDEZ CASTRO</t>
  </si>
  <si>
    <t>Caseta Comunal y Zonas Verdes</t>
  </si>
  <si>
    <t>La Amistad</t>
  </si>
  <si>
    <t>053324</t>
  </si>
  <si>
    <t>039107</t>
  </si>
  <si>
    <t>02042025-00693-1</t>
  </si>
  <si>
    <t>FERNEY MEDINA</t>
  </si>
  <si>
    <t>Carrera 73 # 3 A - 16</t>
  </si>
  <si>
    <t>034036</t>
  </si>
  <si>
    <t>02042025-00695-1</t>
  </si>
  <si>
    <t>LINA CAMPOS</t>
  </si>
  <si>
    <t>Calle 8 # 35 - 01</t>
  </si>
  <si>
    <t>La Floresta</t>
  </si>
  <si>
    <t>201671&amp;C6-2948</t>
  </si>
  <si>
    <t>ID 1650360</t>
  </si>
  <si>
    <t>201671&amp;C6-3021</t>
  </si>
  <si>
    <t>ID 1650433</t>
  </si>
  <si>
    <t>03042025-00701-1</t>
  </si>
  <si>
    <t>ANA BEATRIZ CASTAÑO PIEDRAHITA</t>
  </si>
  <si>
    <t>Calle 20 # 53 - 25</t>
  </si>
  <si>
    <t>041035</t>
  </si>
  <si>
    <t>03042025-00712-1</t>
  </si>
  <si>
    <t>ALEXANDER CHARRY</t>
  </si>
  <si>
    <t>Carrera 6 W # 28 - 06</t>
  </si>
  <si>
    <t>03042025-00713-1</t>
  </si>
  <si>
    <t>CESAR GOMEZ</t>
  </si>
  <si>
    <t>Calle 28 con Carrera 7</t>
  </si>
  <si>
    <t>034107</t>
  </si>
  <si>
    <t>04042025-00724-1</t>
  </si>
  <si>
    <t>JUAN DOMINGO RODRIGUEZ</t>
  </si>
  <si>
    <t>Calle 32 # 10 AW - 63</t>
  </si>
  <si>
    <t>039354</t>
  </si>
  <si>
    <t>08042025-00747-1</t>
  </si>
  <si>
    <t>MANUEL ANDRES CRUZ</t>
  </si>
  <si>
    <t>Carrera 20 # 2 C - 18</t>
  </si>
  <si>
    <t>066294</t>
  </si>
  <si>
    <t>NO SE ENCUENTRA DENTRO DE LA PROGRAMACIÓN</t>
  </si>
  <si>
    <t>08042025-00750-1</t>
  </si>
  <si>
    <t>ESPERANZA QUIZA PERDOMO</t>
  </si>
  <si>
    <t>Calle 14 # 10 - 36</t>
  </si>
  <si>
    <t>062519</t>
  </si>
  <si>
    <t>062521</t>
  </si>
  <si>
    <t>062523</t>
  </si>
  <si>
    <t>11042025-00791-1</t>
  </si>
  <si>
    <t>JORGE LUIS AROCA</t>
  </si>
  <si>
    <t>Calle 65 A # 1 B - 03</t>
  </si>
  <si>
    <t>Mira Rio</t>
  </si>
  <si>
    <t>039400</t>
  </si>
  <si>
    <t>11042025-00792-1</t>
  </si>
  <si>
    <t>ARISTIPO CRUZ</t>
  </si>
  <si>
    <t>Carrera 1 F con Calle 79 A</t>
  </si>
  <si>
    <t>Minuto de dios</t>
  </si>
  <si>
    <t>019886</t>
  </si>
  <si>
    <t>019887</t>
  </si>
  <si>
    <t>019746</t>
  </si>
  <si>
    <t>14042025-00794-1</t>
  </si>
  <si>
    <t>VLADIMIR MONTENEGRO LIZCANO</t>
  </si>
  <si>
    <t>Carrera 5 W entre Calle 54 y 54 A</t>
  </si>
  <si>
    <t>051771</t>
  </si>
  <si>
    <t>004574</t>
  </si>
  <si>
    <t>004435</t>
  </si>
  <si>
    <t>053455</t>
  </si>
  <si>
    <t>14042025-00796-1</t>
  </si>
  <si>
    <t>14042025-00800-1</t>
  </si>
  <si>
    <t>ARLEDIS TOLEDO</t>
  </si>
  <si>
    <t>Calle 18 A # 53 - 64</t>
  </si>
  <si>
    <t>064296</t>
  </si>
  <si>
    <t>064281</t>
  </si>
  <si>
    <t>14042025-00803-1</t>
  </si>
  <si>
    <t>JUAN CARLOS RAMIREZ NIETO</t>
  </si>
  <si>
    <t>Calle 58 # 1 C - 30</t>
  </si>
  <si>
    <t>029449</t>
  </si>
  <si>
    <t>029432</t>
  </si>
  <si>
    <t>029452</t>
  </si>
  <si>
    <t>16042025-00807-1</t>
  </si>
  <si>
    <t xml:space="preserve">STELLA DEL SOCORRO LOSADA TIRONE </t>
  </si>
  <si>
    <t>Transversal 2 AW # 43 - 33</t>
  </si>
  <si>
    <t>Urbanizacion San Silvestre</t>
  </si>
  <si>
    <t>018596</t>
  </si>
  <si>
    <t>16042025-00808-1</t>
  </si>
  <si>
    <t>004455</t>
  </si>
  <si>
    <t>21042025-00822-1</t>
  </si>
  <si>
    <t>22042025-00830-1</t>
  </si>
  <si>
    <t>Calle 14 # 1 G - 43</t>
  </si>
  <si>
    <t>22042025-00834-1</t>
  </si>
  <si>
    <t>MARIA ISABEL CASAGUA</t>
  </si>
  <si>
    <t>Carrera 19 # 9 - 101</t>
  </si>
  <si>
    <t>026291</t>
  </si>
  <si>
    <t>026808</t>
  </si>
  <si>
    <t>025288</t>
  </si>
  <si>
    <t>22042025-00840-1</t>
  </si>
  <si>
    <t>PATRICIA MANRIQUE</t>
  </si>
  <si>
    <t>Calle 8 # 100 - 69</t>
  </si>
  <si>
    <t>Villa del Campo</t>
  </si>
  <si>
    <t>Vegalarga</t>
  </si>
  <si>
    <t>068383</t>
  </si>
  <si>
    <t>030299</t>
  </si>
  <si>
    <t>23042025-00846-1</t>
  </si>
  <si>
    <t>JOSE RIGOBERTO NIÑO</t>
  </si>
  <si>
    <t>Calle 14 # 10 -22</t>
  </si>
  <si>
    <t>24042025-00858-1</t>
  </si>
  <si>
    <t xml:space="preserve">YISELA CHACON </t>
  </si>
  <si>
    <t>El Triunfo</t>
  </si>
  <si>
    <t>031790</t>
  </si>
  <si>
    <t>031787</t>
  </si>
  <si>
    <t>026525</t>
  </si>
  <si>
    <t>031788</t>
  </si>
  <si>
    <t>031779</t>
  </si>
  <si>
    <t>031780</t>
  </si>
  <si>
    <t>031782</t>
  </si>
  <si>
    <t>031783</t>
  </si>
  <si>
    <t>031781</t>
  </si>
  <si>
    <t>031785</t>
  </si>
  <si>
    <t>065184</t>
  </si>
  <si>
    <t>064596</t>
  </si>
  <si>
    <t>064714</t>
  </si>
  <si>
    <t>036442</t>
  </si>
  <si>
    <t>066485</t>
  </si>
  <si>
    <t>066503</t>
  </si>
  <si>
    <t>066510</t>
  </si>
  <si>
    <t>064401</t>
  </si>
  <si>
    <t>065465</t>
  </si>
  <si>
    <t>065463</t>
  </si>
  <si>
    <t>065469</t>
  </si>
  <si>
    <t>065038</t>
  </si>
  <si>
    <t>065707</t>
  </si>
  <si>
    <t>065740</t>
  </si>
  <si>
    <t>065738</t>
  </si>
  <si>
    <t>064447</t>
  </si>
  <si>
    <t>064214</t>
  </si>
  <si>
    <t>064400</t>
  </si>
  <si>
    <t>064554</t>
  </si>
  <si>
    <t>064674</t>
  </si>
  <si>
    <t>064800</t>
  </si>
  <si>
    <t>064765</t>
  </si>
  <si>
    <t>064241</t>
  </si>
  <si>
    <t>064932</t>
  </si>
  <si>
    <t>064960</t>
  </si>
  <si>
    <t>064242</t>
  </si>
  <si>
    <t>064985</t>
  </si>
  <si>
    <t>064283</t>
  </si>
  <si>
    <t>064185</t>
  </si>
  <si>
    <t>064413</t>
  </si>
  <si>
    <t>064463</t>
  </si>
  <si>
    <t>065029</t>
  </si>
  <si>
    <t>065022</t>
  </si>
  <si>
    <t>065018</t>
  </si>
  <si>
    <t>011524</t>
  </si>
  <si>
    <t>065001</t>
  </si>
  <si>
    <t>24042025-00861-1</t>
  </si>
  <si>
    <t>FERNANDO SALAS</t>
  </si>
  <si>
    <t xml:space="preserve">Calle 8 con Carrera 30 </t>
  </si>
  <si>
    <t>Prado Alto</t>
  </si>
  <si>
    <t>028790</t>
  </si>
  <si>
    <t>053471</t>
  </si>
  <si>
    <t>24042025-00864-1</t>
  </si>
  <si>
    <t>AURA MARIA MORENO CHARRY</t>
  </si>
  <si>
    <t>Calle 6 B # 24 - 22</t>
  </si>
  <si>
    <t>025216</t>
  </si>
  <si>
    <t>24042025-00865-1</t>
  </si>
  <si>
    <t>ANTONIO RAMIREZ PASCUAS</t>
  </si>
  <si>
    <t>Carrera 23 con Calle 12</t>
  </si>
  <si>
    <t>Monserrate</t>
  </si>
  <si>
    <t>024739</t>
  </si>
  <si>
    <t>24042025-00866-1</t>
  </si>
  <si>
    <t>MARIA SADIE MURCIA</t>
  </si>
  <si>
    <t>Calle 70 B # 1 A - 18</t>
  </si>
  <si>
    <t>Pigoanza</t>
  </si>
  <si>
    <t>006964</t>
  </si>
  <si>
    <t>25042025-00872-1</t>
  </si>
  <si>
    <t>NELLY MORENO</t>
  </si>
  <si>
    <t>Sector Vergel Bajo</t>
  </si>
  <si>
    <t>020011</t>
  </si>
  <si>
    <t>024909</t>
  </si>
  <si>
    <t>024923</t>
  </si>
  <si>
    <t>025901</t>
  </si>
  <si>
    <t>025906</t>
  </si>
  <si>
    <t>025907</t>
  </si>
  <si>
    <t>025934</t>
  </si>
  <si>
    <t>25042025-00876-1</t>
  </si>
  <si>
    <t>BELLAIR GUZMAN VERGEL</t>
  </si>
  <si>
    <t>Carrera 17 # 4 C - 31</t>
  </si>
  <si>
    <t>024617</t>
  </si>
  <si>
    <t>25042025-00879-1</t>
  </si>
  <si>
    <t>CIELO CONSTANZA BUSTOS</t>
  </si>
  <si>
    <t>Carrera 22 # 22 C Sur - 17</t>
  </si>
  <si>
    <t>006485</t>
  </si>
  <si>
    <t>006705</t>
  </si>
  <si>
    <t>067538</t>
  </si>
  <si>
    <t>028607</t>
  </si>
  <si>
    <t>028903</t>
  </si>
  <si>
    <t>25042025-00882-1</t>
  </si>
  <si>
    <t xml:space="preserve">SANDRA MILENA BARRIOS </t>
  </si>
  <si>
    <t>Calle 7 # 16 - 74</t>
  </si>
  <si>
    <t>025309</t>
  </si>
  <si>
    <t>25042025-00886-1</t>
  </si>
  <si>
    <t>LUDMILA MURCIA CAVIEDES</t>
  </si>
  <si>
    <t>Carrera 35 A 18 B - 23</t>
  </si>
  <si>
    <t>069889</t>
  </si>
  <si>
    <t>28042025-00893-1</t>
  </si>
  <si>
    <t>PATRICIA BARRETO</t>
  </si>
  <si>
    <t>Acropolis</t>
  </si>
  <si>
    <t>28042025-00894-1</t>
  </si>
  <si>
    <t>LUZ MARINA CABRERA</t>
  </si>
  <si>
    <t>Calle 1 D con Carrera 26</t>
  </si>
  <si>
    <t>Las Acacias</t>
  </si>
  <si>
    <t>004597</t>
  </si>
  <si>
    <t>025653</t>
  </si>
  <si>
    <t>29042025-00915-1</t>
  </si>
  <si>
    <t>LUCY RAMIREZ MARTINEZ</t>
  </si>
  <si>
    <t>Calle 2 D # 16 - 30</t>
  </si>
  <si>
    <t>010673</t>
  </si>
  <si>
    <t>29042025-00917-1</t>
  </si>
  <si>
    <t>DUVAN FELIPE PERDOMO</t>
  </si>
  <si>
    <t>Carrera 30 Sur # 19 - 24</t>
  </si>
  <si>
    <t>Manzanares</t>
  </si>
  <si>
    <t>29042025-00918-1</t>
  </si>
  <si>
    <t>PASTORA MURILLO</t>
  </si>
  <si>
    <t>Carrera 31 A # 29 Sur - 15</t>
  </si>
  <si>
    <t>Puertas del Sol</t>
  </si>
  <si>
    <t>033727</t>
  </si>
  <si>
    <t>033726</t>
  </si>
  <si>
    <t>30042025-00920-1</t>
  </si>
  <si>
    <t>NORBERTO NINCO PASCUAS</t>
  </si>
  <si>
    <t>Carrera 17 E # 48 - 58</t>
  </si>
  <si>
    <t>062542</t>
  </si>
  <si>
    <t>30042025-00928-1</t>
  </si>
  <si>
    <t>02052025-00936-1</t>
  </si>
  <si>
    <t>OLGA MOSQUERA</t>
  </si>
  <si>
    <t>Calle 13 # 10 -64</t>
  </si>
  <si>
    <t>022995</t>
  </si>
  <si>
    <t>02052025-00941-1</t>
  </si>
  <si>
    <t>VIVIANA BARRETO</t>
  </si>
  <si>
    <t>Calle 20 B Sur # 36 - 10</t>
  </si>
  <si>
    <t>010968</t>
  </si>
  <si>
    <t>010977</t>
  </si>
  <si>
    <t>05052025-00963-1</t>
  </si>
  <si>
    <t>BRAYAN LOPEZ</t>
  </si>
  <si>
    <t>Calle 45 A Sur # 66 - 112</t>
  </si>
  <si>
    <t>Las Margaitas</t>
  </si>
  <si>
    <t>031186</t>
  </si>
  <si>
    <t>031188</t>
  </si>
  <si>
    <t>07052025-00975-1</t>
  </si>
  <si>
    <t>OLAM AGRO COLOMBIA SAS</t>
  </si>
  <si>
    <t>Calle 26 Sur # 5 A - 20</t>
  </si>
  <si>
    <t>035341</t>
  </si>
  <si>
    <t>035340</t>
  </si>
  <si>
    <t>08052025-00980-1</t>
  </si>
  <si>
    <t>1650360</t>
  </si>
  <si>
    <t>1650433</t>
  </si>
  <si>
    <t>08052025-00982-1</t>
  </si>
  <si>
    <t>GILBERTO RIVERA</t>
  </si>
  <si>
    <t>Avenida 26 # 10 W - 130</t>
  </si>
  <si>
    <t>016367</t>
  </si>
  <si>
    <t>09052025-00992-1</t>
  </si>
  <si>
    <t>12052025-00996-1</t>
  </si>
  <si>
    <t>GUSTAVO HORTA CORTES</t>
  </si>
  <si>
    <t>Carrera 2 entre Calles 37 y 40</t>
  </si>
  <si>
    <t>030167</t>
  </si>
  <si>
    <t>030902</t>
  </si>
  <si>
    <t>13052025-01006-1</t>
  </si>
  <si>
    <t>Calle 3 A # 8 - 77</t>
  </si>
  <si>
    <t>Los Pomos</t>
  </si>
  <si>
    <t>038239</t>
  </si>
  <si>
    <t>065868</t>
  </si>
  <si>
    <t>14052025-01015-1</t>
  </si>
  <si>
    <t>LUIS ALFONSO PACHECO</t>
  </si>
  <si>
    <t>Calle 51 # 23 - 40</t>
  </si>
  <si>
    <t>14052025-01020-1</t>
  </si>
  <si>
    <t>JUVENAL FIERRO</t>
  </si>
  <si>
    <t>Avenida 26 con Calle 27</t>
  </si>
  <si>
    <t>Santa Lucia</t>
  </si>
  <si>
    <t>040139</t>
  </si>
  <si>
    <t>14052025-01023-1</t>
  </si>
  <si>
    <t>MISAEL AROCA</t>
  </si>
  <si>
    <t>Carrera 21 con Calle 14</t>
  </si>
  <si>
    <t>022742</t>
  </si>
  <si>
    <t>024807</t>
  </si>
  <si>
    <t>15052025-01027-1</t>
  </si>
  <si>
    <t>YESID ARCE ROJAS</t>
  </si>
  <si>
    <t>Calle 7 A # 23 - 127</t>
  </si>
  <si>
    <t>054197</t>
  </si>
  <si>
    <t>15052025-01029-1</t>
  </si>
  <si>
    <t>SUSANA MESA</t>
  </si>
  <si>
    <t>Calle 47 # 23 - 41</t>
  </si>
  <si>
    <t>062799</t>
  </si>
  <si>
    <t>062798</t>
  </si>
  <si>
    <t>16052025-01046-1</t>
  </si>
  <si>
    <t>JAVIER ORLANDO SOLANO</t>
  </si>
  <si>
    <t>Calle 72 A # 5 - 33</t>
  </si>
  <si>
    <t>063564</t>
  </si>
  <si>
    <t>062731</t>
  </si>
  <si>
    <t>062708</t>
  </si>
  <si>
    <t>062719</t>
  </si>
  <si>
    <t>16052025-01053-1</t>
  </si>
  <si>
    <t>MARIA PAULA ROJAS VEGA</t>
  </si>
  <si>
    <t>Carrera 20 entre Calles 58, 59 y 60</t>
  </si>
  <si>
    <t>Villa Esmeralda</t>
  </si>
  <si>
    <t>006890</t>
  </si>
  <si>
    <t>011699</t>
  </si>
  <si>
    <t>051444</t>
  </si>
  <si>
    <t>006832</t>
  </si>
  <si>
    <t>20052025-01076-1</t>
  </si>
  <si>
    <t>GLORIA ESMERALDA BONILLA</t>
  </si>
  <si>
    <t>Calle 79 # 1 E - 27</t>
  </si>
  <si>
    <t>21052025-01080-1</t>
  </si>
  <si>
    <t>SOFIA QUIEDO</t>
  </si>
  <si>
    <t>Calle 7 # 21 - 07</t>
  </si>
  <si>
    <t>026143</t>
  </si>
  <si>
    <t>027110</t>
  </si>
  <si>
    <t>21052025-01083-1</t>
  </si>
  <si>
    <t>MARIA CAMILA TORRES</t>
  </si>
  <si>
    <t>Carrera 31 A # 30 Sur - 85</t>
  </si>
  <si>
    <t>San Luis de la Paz</t>
  </si>
  <si>
    <t>032182</t>
  </si>
  <si>
    <t>21052025-01085-1</t>
  </si>
  <si>
    <t>21052025-01088-1</t>
  </si>
  <si>
    <t>PABLO ARIAS RUJANA</t>
  </si>
  <si>
    <t>Carrera 23 A y 24 con Calle 8</t>
  </si>
  <si>
    <t>041536</t>
  </si>
  <si>
    <t>041541</t>
  </si>
  <si>
    <t>041532</t>
  </si>
  <si>
    <t>23052025-01105-1</t>
  </si>
  <si>
    <t>Carrera 51 C # 28 - 42</t>
  </si>
  <si>
    <t>23052025-01106-1</t>
  </si>
  <si>
    <t>MONICA VIVAS MEDINA</t>
  </si>
  <si>
    <t>Calle 24 A con Carrera 51</t>
  </si>
  <si>
    <t>Los Rosales</t>
  </si>
  <si>
    <t>031636</t>
  </si>
  <si>
    <t>062595</t>
  </si>
  <si>
    <t>031638</t>
  </si>
  <si>
    <t>23052025-01107-1</t>
  </si>
  <si>
    <t>FABIAN POLANIA</t>
  </si>
  <si>
    <t>Carrera 7 con Calle 1 G</t>
  </si>
  <si>
    <t>Urdameta</t>
  </si>
  <si>
    <t>030862</t>
  </si>
  <si>
    <t>030859</t>
  </si>
  <si>
    <t>28052025-01129-1</t>
  </si>
  <si>
    <t>Calle 24 A # 499 - 05</t>
  </si>
  <si>
    <t>28052025-01130-1</t>
  </si>
  <si>
    <t>28052025-01132-1</t>
  </si>
  <si>
    <t>GLADYS QUINTERO</t>
  </si>
  <si>
    <t>Avenida 26 # 58 - 48</t>
  </si>
  <si>
    <t>068583</t>
  </si>
  <si>
    <t>068584</t>
  </si>
  <si>
    <t>069553</t>
  </si>
  <si>
    <t>069566</t>
  </si>
  <si>
    <t>29052025-01135-1</t>
  </si>
  <si>
    <t>SANDRA XIMENA AYA</t>
  </si>
  <si>
    <t>Calle 25 B # 7 - 25</t>
  </si>
  <si>
    <t>Alvaro Sanchez Silva</t>
  </si>
  <si>
    <t>018520</t>
  </si>
  <si>
    <t>3167-150</t>
  </si>
  <si>
    <t>29052025-01137-1</t>
  </si>
  <si>
    <t>OSCAR LUIS RIVERA MARQUIN</t>
  </si>
  <si>
    <t>Carrera 22 # 4 B - 02</t>
  </si>
  <si>
    <t>Gaitan</t>
  </si>
  <si>
    <t>026763</t>
  </si>
  <si>
    <t>29052025-01147-1</t>
  </si>
  <si>
    <t>KARLA MARCELA ORTEGON DIAZ</t>
  </si>
  <si>
    <t>Carrera 34 # 23 - 53</t>
  </si>
  <si>
    <t>016174</t>
  </si>
  <si>
    <t>30052025-01149-1</t>
  </si>
  <si>
    <t>LUZ DARY GUZMAN</t>
  </si>
  <si>
    <t>Calle 78 A y 77</t>
  </si>
  <si>
    <t>Alvaro Leyva</t>
  </si>
  <si>
    <t>3465-150</t>
  </si>
  <si>
    <t>030050</t>
  </si>
  <si>
    <t>07/0372024</t>
  </si>
  <si>
    <t>000603</t>
  </si>
  <si>
    <t>30052025-01152-1</t>
  </si>
  <si>
    <t xml:space="preserve">LEIDY ALEXANDRA RAMIREZ </t>
  </si>
  <si>
    <t>Calle 18 A # 38 - 34</t>
  </si>
  <si>
    <t>El Vergel</t>
  </si>
  <si>
    <t>007924</t>
  </si>
  <si>
    <t>30052025-01154-1</t>
  </si>
  <si>
    <t xml:space="preserve">DORA LILIA RODRIGUEZ </t>
  </si>
  <si>
    <t>Carrera 11 # 4 - 30</t>
  </si>
  <si>
    <t>034592</t>
  </si>
  <si>
    <t>03062025-01159-1</t>
  </si>
  <si>
    <t>ANDRES FELIPE BUITRAGO VARGAS</t>
  </si>
  <si>
    <t>Carrera 1 F # 80 D - 57</t>
  </si>
  <si>
    <t>Praderas del Norte</t>
  </si>
  <si>
    <t>050904</t>
  </si>
  <si>
    <t>03062025-01160-1</t>
  </si>
  <si>
    <t>MAGDA GARCIA</t>
  </si>
  <si>
    <t>Calle 3 A # 15 A - 61</t>
  </si>
  <si>
    <t>San Jose</t>
  </si>
  <si>
    <t>024183</t>
  </si>
  <si>
    <t>03062025-01161-1</t>
  </si>
  <si>
    <t>GLADYS POLANCO</t>
  </si>
  <si>
    <t>Carrera 12 # 33 - 18</t>
  </si>
  <si>
    <t>067248</t>
  </si>
  <si>
    <t>03062025-01163-1</t>
  </si>
  <si>
    <t>GILMA CECILIA VARGAS</t>
  </si>
  <si>
    <t>Carrera 51 con Calle 24 A</t>
  </si>
  <si>
    <t>03062025-01166-1</t>
  </si>
  <si>
    <t>FABIOLA CUTIVA BEDOYA</t>
  </si>
  <si>
    <t>Calle 2 Sur y Calle 1 A Sur 
entre Carreras 15 y 5</t>
  </si>
  <si>
    <t>El Bosque</t>
  </si>
  <si>
    <t>029866</t>
  </si>
  <si>
    <t>029779</t>
  </si>
  <si>
    <t>029710</t>
  </si>
  <si>
    <t>029726</t>
  </si>
  <si>
    <t>029861</t>
  </si>
  <si>
    <t>029722</t>
  </si>
  <si>
    <t>029752</t>
  </si>
  <si>
    <t>029762</t>
  </si>
  <si>
    <t>029763</t>
  </si>
  <si>
    <t>068185</t>
  </si>
  <si>
    <t>030622</t>
  </si>
  <si>
    <t>029702</t>
  </si>
  <si>
    <t>03062025-01169-1</t>
  </si>
  <si>
    <t>MARTHA DURAN</t>
  </si>
  <si>
    <t>Calle 27 A Sur # 23 -10</t>
  </si>
  <si>
    <t>Fronteras del Milenio</t>
  </si>
  <si>
    <t>051500</t>
  </si>
  <si>
    <t>03062025-01171-1</t>
  </si>
  <si>
    <t>MARIA LIZETH BERNAL SOTO</t>
  </si>
  <si>
    <t>Calle 56 # 5 - 34</t>
  </si>
  <si>
    <t>Municipal</t>
  </si>
  <si>
    <t>040396</t>
  </si>
  <si>
    <t>3348-90</t>
  </si>
  <si>
    <t>00826</t>
  </si>
  <si>
    <t>STICKER NO ENCONTRADO</t>
  </si>
  <si>
    <t>061134</t>
  </si>
  <si>
    <t>061136</t>
  </si>
  <si>
    <t>04062025-01174-1</t>
  </si>
  <si>
    <t>GIOVANY DIAZ BURGOS</t>
  </si>
  <si>
    <t>Calle 6 C # 20 - 05</t>
  </si>
  <si>
    <t>023713</t>
  </si>
  <si>
    <t>05062025-01187-1</t>
  </si>
  <si>
    <t>MARIA OLGA CALDERON</t>
  </si>
  <si>
    <t>Carrera 10 # 8 - 38</t>
  </si>
  <si>
    <t>PODAS.12.03.2025.C62.EQY-018_1</t>
  </si>
  <si>
    <t>PODAS.11.03.2025C62.EQY.018_1</t>
  </si>
  <si>
    <t>PODAS.28.02.2025.C62.EQY-018</t>
  </si>
  <si>
    <t>PODAS.08.04.2025.C62.EQY.018_1</t>
  </si>
  <si>
    <t>PODAS.09.04.2025.C62.KPP.444_1</t>
  </si>
  <si>
    <t>MAYO</t>
  </si>
  <si>
    <t>DICIEMBRE</t>
  </si>
  <si>
    <t>PODAS.05/02/2025.C62.EQY-018</t>
  </si>
  <si>
    <t>PODAS.19.05.2025.C62.EQY.018</t>
  </si>
  <si>
    <t>No operativas</t>
  </si>
  <si>
    <t>PODAS.18.06.2025.C62.EQY.018_1</t>
  </si>
  <si>
    <t>FEBRERO</t>
  </si>
  <si>
    <t>MARZO</t>
  </si>
  <si>
    <t>PODAS.31.01.2025C62.EQY.018_1</t>
  </si>
  <si>
    <t>no</t>
  </si>
  <si>
    <t>JUNIO</t>
  </si>
  <si>
    <t>ENERO</t>
  </si>
  <si>
    <t>PODAS.29.05.2025.C62.EQY.018</t>
  </si>
  <si>
    <t>PODAS_14.02.2024_CUAD62_EQY_018</t>
  </si>
  <si>
    <t>OCTUBRE</t>
  </si>
  <si>
    <t>PODAS.13.06.2025.C62.EQY.018_1</t>
  </si>
  <si>
    <t>NO PROGRAMADA</t>
  </si>
  <si>
    <t>PODAS.10.03.2025.C62.EQY.019_1</t>
  </si>
  <si>
    <t>PODAS.16.06.2025.C62.EQY.018_1</t>
  </si>
  <si>
    <t>usuario podó el arbol</t>
  </si>
  <si>
    <t xml:space="preserve">No hay ingreso </t>
  </si>
  <si>
    <t>PODAS.28.04.2025.C59.EQY.019_1</t>
  </si>
  <si>
    <t>PODAS.31.03.2025.C62.EQY.018_1</t>
  </si>
  <si>
    <t>PODAS.25.03.2025.C62.EQY.018_1</t>
  </si>
  <si>
    <t>PODAS10.04.2024_CUAD 62_EQY_018_1</t>
  </si>
  <si>
    <t>PODAS.2.04.2025.C62.EQY.018_1</t>
  </si>
  <si>
    <t>PODAS13.03.2024_CUAD 62_EQY_018</t>
  </si>
  <si>
    <t>PODAS.23.05.2025.C59.KPP.444</t>
  </si>
  <si>
    <t>PODAS.26.05.2025.C59.EQY.019</t>
  </si>
  <si>
    <t>PODAS.16.05.2025.C62.EQY.019_1</t>
  </si>
  <si>
    <t>PODAS.07.04.2025.C59.KPP.444_1</t>
  </si>
  <si>
    <t>PODAS.07.04.2025.C62.EQY.018_1</t>
  </si>
  <si>
    <t>PODAS.24.02.2025.C62.EQY-018</t>
  </si>
  <si>
    <t>PODAS.24.02.2025.C62.EQY-018_1</t>
  </si>
  <si>
    <t>PODAS.27.05.2025.C62.EQY.018</t>
  </si>
  <si>
    <t>PODAS.15.07.2025.C62.KPP.444</t>
  </si>
  <si>
    <t>PODAS.16.05.2025.C59.EQY.018</t>
  </si>
  <si>
    <t>PODAS.27.05.2025.C59.EQY.019</t>
  </si>
  <si>
    <t>PODAS.12.06.2025.C62.EQY.018_1</t>
  </si>
  <si>
    <t>PODAS.11.07.2025.C62.KPP.444</t>
  </si>
  <si>
    <t>PODAS.14.03.2025.C62.EQY.018_1</t>
  </si>
  <si>
    <t>PODAS.13.03.2025.C59.KPP-444_1</t>
  </si>
  <si>
    <t>PODAS.04.07.2025.C62.KPP.444</t>
  </si>
  <si>
    <t>PODAS.16.06.2025.C59.KPP.444_1</t>
  </si>
  <si>
    <t>PODAS.26.05.2025.C62.KPP.444</t>
  </si>
  <si>
    <t>PODAS.28.11.2024.C62.EQY.018_3</t>
  </si>
  <si>
    <t>PODAS.28.11.2024.C62.EQY.018_7</t>
  </si>
  <si>
    <t>PODAS.21.05.2025.C59.EQY.019</t>
  </si>
  <si>
    <t>PODAS.25.06.2025.C62.EQY.018_1</t>
  </si>
  <si>
    <t>PODAS.15/01/2025C62.EQY-018_1</t>
  </si>
  <si>
    <t>PODAS.02.07.2025.C62.EQY.018</t>
  </si>
  <si>
    <t>PODAS.26.06.2025.C62.EQY.018_1</t>
  </si>
  <si>
    <t>PODAS.01.07.2025.C62.EQY.018</t>
  </si>
  <si>
    <t>PODAS.07.07.2025.C62.KPP.444</t>
  </si>
  <si>
    <t>PODAS.04.05.2025.C62.EQY.018_1</t>
  </si>
  <si>
    <t>PODAS.03.05.2025.C59.EQY.019_1</t>
  </si>
  <si>
    <t>PODAS.18.06.2025.C59.KPP.444_1</t>
  </si>
  <si>
    <t>PODAS.29.04.2025.C62.EQY.018_1</t>
  </si>
  <si>
    <t>PODAS.30.09.2024.C62.EQY.018_1</t>
  </si>
  <si>
    <t>PODAS.14.07.2025.C62.KPP.444</t>
  </si>
  <si>
    <t>NOVIEMBRE</t>
  </si>
  <si>
    <t>PODAS.28.05.2025.C62.EQY.018</t>
  </si>
  <si>
    <t>PODAS.10.10.2025.C62.KPP.444_1</t>
  </si>
  <si>
    <t>PODAS.03.07.2025.C62.EQY.018</t>
  </si>
  <si>
    <t>PODAS.10.07.2025.C62.KPP.444</t>
  </si>
  <si>
    <t>PODAS.09.07.2025.C62.KPP.444</t>
  </si>
  <si>
    <t>PODAS_12.03.2024_CUAD 62_EQY_019</t>
  </si>
  <si>
    <t>PODA REALIZADA POR USUARIO</t>
  </si>
  <si>
    <t>NO SE PUEDE INGRESAR</t>
  </si>
  <si>
    <t>PODAS_07.03.2024_CUAD62_EQY_018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</si>
</sst>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49" fontId="3" fillId="0" borderId="4" xfId="0" quotePrefix="1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81">
    <dxf>
      <font>
        <color rgb="FFFF0000"/>
      </font>
      <fill>
        <patternFill>
          <bgColor rgb="FFFFAFAF"/>
        </patternFill>
      </fill>
    </dxf>
    <dxf>
      <font>
        <color rgb="FFFF0000"/>
      </font>
      <fill>
        <patternFill>
          <bgColor rgb="FFFFBDB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E103-400D-4272-9718-B5B2D05708C1}">
  <sheetPr filterMode="1"/>
  <dimension ref="A1:S592"/>
  <sheetViews>
    <sheetView tabSelected="1" topLeftCell="J520" workbookViewId="0">
      <selection activeCell="M1" sqref="M1:N590"/>
    </sheetView>
  </sheetViews>
  <sheetFormatPr baseColWidth="10" defaultColWidth="11.44140625" defaultRowHeight="13.8" x14ac:dyDescent="0.3"/>
  <cols>
    <col min="1" max="1" width="16.5546875" style="8" bestFit="1" customWidth="1"/>
    <col min="2" max="2" width="34.5546875" style="8" bestFit="1" customWidth="1"/>
    <col min="3" max="3" width="28.88671875" style="8" customWidth="1"/>
    <col min="4" max="4" width="18.6640625" style="8" bestFit="1" customWidth="1"/>
    <col min="5" max="5" width="9" style="8" bestFit="1" customWidth="1"/>
    <col min="6" max="6" width="10.6640625" style="8" bestFit="1" customWidth="1"/>
    <col min="7" max="7" width="7.5546875" style="8" bestFit="1" customWidth="1"/>
    <col min="8" max="8" width="10.6640625" style="8" bestFit="1" customWidth="1"/>
    <col min="9" max="9" width="12.88671875" style="8" customWidth="1"/>
    <col min="10" max="10" width="15" style="8" customWidth="1"/>
    <col min="11" max="11" width="21.5546875" style="8" bestFit="1" customWidth="1"/>
    <col min="12" max="12" width="34.6640625" style="8" customWidth="1"/>
    <col min="13" max="13" width="15.6640625" style="36" customWidth="1"/>
    <col min="14" max="14" width="57.44140625" style="8" bestFit="1" customWidth="1"/>
    <col min="15" max="16384" width="11.44140625" style="8"/>
  </cols>
  <sheetData>
    <row r="1" spans="1:14" ht="31.2" x14ac:dyDescent="0.3">
      <c r="A1" s="3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</row>
    <row r="2" spans="1:14" ht="14.4" x14ac:dyDescent="0.3">
      <c r="A2" s="65" t="s">
        <v>14</v>
      </c>
      <c r="B2" s="68" t="s">
        <v>15</v>
      </c>
      <c r="C2" s="68" t="s">
        <v>16</v>
      </c>
      <c r="D2" s="68" t="s">
        <v>17</v>
      </c>
      <c r="E2" s="71">
        <v>1</v>
      </c>
      <c r="F2" s="39" t="s">
        <v>18</v>
      </c>
      <c r="G2" s="39" t="s">
        <v>19</v>
      </c>
      <c r="H2" s="40">
        <v>45660</v>
      </c>
      <c r="I2" s="40">
        <v>45678</v>
      </c>
      <c r="J2" s="40">
        <f>EDATE(I2,6)</f>
        <v>45859</v>
      </c>
      <c r="K2" s="37">
        <v>45728</v>
      </c>
      <c r="L2" s="38" t="s">
        <v>1239</v>
      </c>
      <c r="M2" s="14" t="s">
        <v>20</v>
      </c>
      <c r="N2" s="15" t="s">
        <v>21</v>
      </c>
    </row>
    <row r="3" spans="1:14" ht="14.4" x14ac:dyDescent="0.3">
      <c r="A3" s="66"/>
      <c r="B3" s="69"/>
      <c r="C3" s="69"/>
      <c r="D3" s="69"/>
      <c r="E3" s="72"/>
      <c r="F3" s="39"/>
      <c r="G3" s="39"/>
      <c r="H3" s="40"/>
      <c r="I3" s="40"/>
      <c r="J3" s="40"/>
      <c r="K3" s="37">
        <v>45727</v>
      </c>
      <c r="L3" s="38" t="s">
        <v>1240</v>
      </c>
      <c r="M3" s="14" t="s">
        <v>22</v>
      </c>
      <c r="N3" s="15" t="s">
        <v>21</v>
      </c>
    </row>
    <row r="4" spans="1:14" ht="14.4" x14ac:dyDescent="0.3">
      <c r="A4" s="67"/>
      <c r="B4" s="70"/>
      <c r="C4" s="70"/>
      <c r="D4" s="70"/>
      <c r="E4" s="73"/>
      <c r="F4" s="39"/>
      <c r="G4" s="39"/>
      <c r="H4" s="40"/>
      <c r="I4" s="40"/>
      <c r="J4" s="40"/>
      <c r="K4" s="37">
        <v>45716</v>
      </c>
      <c r="L4" s="38" t="s">
        <v>1241</v>
      </c>
      <c r="M4" s="14" t="s">
        <v>23</v>
      </c>
      <c r="N4" s="15" t="s">
        <v>21</v>
      </c>
    </row>
    <row r="5" spans="1:14" ht="14.4" x14ac:dyDescent="0.3">
      <c r="A5" s="65" t="s">
        <v>24</v>
      </c>
      <c r="B5" s="68" t="s">
        <v>25</v>
      </c>
      <c r="C5" s="68" t="s">
        <v>26</v>
      </c>
      <c r="D5" s="68" t="s">
        <v>27</v>
      </c>
      <c r="E5" s="71">
        <v>2</v>
      </c>
      <c r="F5" s="39" t="s">
        <v>18</v>
      </c>
      <c r="G5" s="39" t="s">
        <v>19</v>
      </c>
      <c r="H5" s="40">
        <v>45664</v>
      </c>
      <c r="I5" s="40">
        <v>45679</v>
      </c>
      <c r="J5" s="40">
        <f>EDATE(I5,6)</f>
        <v>45860</v>
      </c>
      <c r="K5" s="37">
        <v>45755</v>
      </c>
      <c r="L5" s="38" t="s">
        <v>1242</v>
      </c>
      <c r="M5" s="14" t="s">
        <v>28</v>
      </c>
      <c r="N5" s="15" t="s">
        <v>21</v>
      </c>
    </row>
    <row r="6" spans="1:14" ht="14.4" x14ac:dyDescent="0.3">
      <c r="A6" s="67"/>
      <c r="B6" s="70"/>
      <c r="C6" s="70"/>
      <c r="D6" s="70"/>
      <c r="E6" s="73"/>
      <c r="F6" s="39"/>
      <c r="G6" s="39"/>
      <c r="H6" s="40"/>
      <c r="I6" s="40"/>
      <c r="J6" s="40"/>
      <c r="K6" s="37">
        <v>45756</v>
      </c>
      <c r="L6" s="38" t="s">
        <v>1243</v>
      </c>
      <c r="M6" s="14" t="s">
        <v>29</v>
      </c>
      <c r="N6" s="15" t="s">
        <v>21</v>
      </c>
    </row>
    <row r="7" spans="1:14" ht="14.4" hidden="1" x14ac:dyDescent="0.3">
      <c r="A7" s="17" t="s">
        <v>30</v>
      </c>
      <c r="B7" s="18" t="s">
        <v>31</v>
      </c>
      <c r="C7" s="19" t="s">
        <v>32</v>
      </c>
      <c r="D7" s="20" t="s">
        <v>33</v>
      </c>
      <c r="E7" s="21">
        <v>3</v>
      </c>
      <c r="F7" s="12" t="s">
        <v>18</v>
      </c>
      <c r="G7" s="12" t="s">
        <v>19</v>
      </c>
      <c r="H7" s="13">
        <v>45664</v>
      </c>
      <c r="I7" s="22">
        <v>45679</v>
      </c>
      <c r="J7" s="22">
        <f>EDATE(I7,6)</f>
        <v>45860</v>
      </c>
      <c r="K7" s="38" t="s">
        <v>34</v>
      </c>
      <c r="L7" s="38" t="s">
        <v>1244</v>
      </c>
      <c r="M7" s="14" t="s">
        <v>35</v>
      </c>
      <c r="N7" s="15" t="s">
        <v>36</v>
      </c>
    </row>
    <row r="8" spans="1:14" ht="14.4" hidden="1" x14ac:dyDescent="0.3">
      <c r="A8" s="17" t="s">
        <v>37</v>
      </c>
      <c r="B8" s="18" t="s">
        <v>38</v>
      </c>
      <c r="C8" s="19" t="s">
        <v>32</v>
      </c>
      <c r="D8" s="20" t="s">
        <v>33</v>
      </c>
      <c r="E8" s="21">
        <v>3</v>
      </c>
      <c r="F8" s="12" t="s">
        <v>18</v>
      </c>
      <c r="G8" s="12" t="s">
        <v>19</v>
      </c>
      <c r="H8" s="13">
        <v>45664</v>
      </c>
      <c r="I8" s="22">
        <v>45679</v>
      </c>
      <c r="J8" s="22">
        <f t="shared" ref="J8:J71" si="0">EDATE(I8,6)</f>
        <v>45860</v>
      </c>
      <c r="K8" s="38" t="s">
        <v>34</v>
      </c>
      <c r="L8" s="38" t="s">
        <v>1244</v>
      </c>
      <c r="M8" s="14" t="s">
        <v>35</v>
      </c>
      <c r="N8" s="15" t="s">
        <v>36</v>
      </c>
    </row>
    <row r="9" spans="1:14" ht="14.4" hidden="1" x14ac:dyDescent="0.3">
      <c r="A9" s="17" t="s">
        <v>39</v>
      </c>
      <c r="B9" s="18" t="s">
        <v>40</v>
      </c>
      <c r="C9" s="19" t="s">
        <v>41</v>
      </c>
      <c r="D9" s="20" t="s">
        <v>41</v>
      </c>
      <c r="E9" s="21">
        <v>8</v>
      </c>
      <c r="F9" s="12" t="s">
        <v>42</v>
      </c>
      <c r="G9" s="12" t="s">
        <v>19</v>
      </c>
      <c r="H9" s="13">
        <v>45665</v>
      </c>
      <c r="I9" s="22">
        <v>45684</v>
      </c>
      <c r="J9" s="22">
        <f t="shared" si="0"/>
        <v>45865</v>
      </c>
      <c r="K9" s="38" t="s">
        <v>43</v>
      </c>
      <c r="L9" s="38" t="s">
        <v>716</v>
      </c>
      <c r="M9" s="14" t="s">
        <v>44</v>
      </c>
      <c r="N9" s="15" t="s">
        <v>43</v>
      </c>
    </row>
    <row r="10" spans="1:14" ht="15" hidden="1" customHeight="1" x14ac:dyDescent="0.3">
      <c r="A10" s="65" t="s">
        <v>45</v>
      </c>
      <c r="B10" s="68" t="s">
        <v>46</v>
      </c>
      <c r="C10" s="68" t="s">
        <v>47</v>
      </c>
      <c r="D10" s="68" t="s">
        <v>48</v>
      </c>
      <c r="E10" s="71">
        <v>8</v>
      </c>
      <c r="F10" s="39" t="s">
        <v>42</v>
      </c>
      <c r="G10" s="39" t="s">
        <v>19</v>
      </c>
      <c r="H10" s="40">
        <v>45666</v>
      </c>
      <c r="I10" s="40">
        <v>45680</v>
      </c>
      <c r="J10" s="40">
        <f t="shared" si="0"/>
        <v>45861</v>
      </c>
      <c r="K10" s="38" t="s">
        <v>43</v>
      </c>
      <c r="L10" s="38" t="s">
        <v>716</v>
      </c>
      <c r="M10" s="23" t="s">
        <v>49</v>
      </c>
      <c r="N10" s="15" t="s">
        <v>43</v>
      </c>
    </row>
    <row r="11" spans="1:14" ht="14.4" hidden="1" x14ac:dyDescent="0.3">
      <c r="A11" s="67"/>
      <c r="B11" s="70"/>
      <c r="C11" s="70"/>
      <c r="D11" s="70"/>
      <c r="E11" s="73"/>
      <c r="F11" s="39"/>
      <c r="G11" s="39"/>
      <c r="H11" s="40"/>
      <c r="I11" s="40"/>
      <c r="J11" s="40">
        <f t="shared" si="0"/>
        <v>182</v>
      </c>
      <c r="K11" s="38" t="s">
        <v>43</v>
      </c>
      <c r="L11" s="38" t="s">
        <v>716</v>
      </c>
      <c r="M11" s="23" t="s">
        <v>50</v>
      </c>
      <c r="N11" s="15" t="s">
        <v>43</v>
      </c>
    </row>
    <row r="12" spans="1:14" ht="14.4" hidden="1" x14ac:dyDescent="0.3">
      <c r="A12" s="65" t="s">
        <v>51</v>
      </c>
      <c r="B12" s="68" t="s">
        <v>52</v>
      </c>
      <c r="C12" s="68" t="s">
        <v>53</v>
      </c>
      <c r="D12" s="68" t="s">
        <v>54</v>
      </c>
      <c r="E12" s="71">
        <v>4</v>
      </c>
      <c r="F12" s="39" t="s">
        <v>18</v>
      </c>
      <c r="G12" s="39" t="s">
        <v>19</v>
      </c>
      <c r="H12" s="40">
        <v>45666</v>
      </c>
      <c r="I12" s="40">
        <v>45687</v>
      </c>
      <c r="J12" s="40">
        <f t="shared" si="0"/>
        <v>45868</v>
      </c>
      <c r="K12" s="38" t="s">
        <v>34</v>
      </c>
      <c r="L12" s="38" t="s">
        <v>1245</v>
      </c>
      <c r="M12" s="14" t="s">
        <v>55</v>
      </c>
      <c r="N12" s="15" t="s">
        <v>36</v>
      </c>
    </row>
    <row r="13" spans="1:14" ht="14.4" hidden="1" x14ac:dyDescent="0.3">
      <c r="A13" s="66"/>
      <c r="B13" s="69"/>
      <c r="C13" s="69"/>
      <c r="D13" s="69"/>
      <c r="E13" s="72"/>
      <c r="F13" s="39"/>
      <c r="G13" s="39"/>
      <c r="H13" s="40"/>
      <c r="I13" s="40"/>
      <c r="J13" s="40">
        <f t="shared" si="0"/>
        <v>182</v>
      </c>
      <c r="K13" s="38" t="s">
        <v>34</v>
      </c>
      <c r="L13" s="38" t="s">
        <v>1245</v>
      </c>
      <c r="M13" s="14" t="s">
        <v>56</v>
      </c>
      <c r="N13" s="15" t="s">
        <v>36</v>
      </c>
    </row>
    <row r="14" spans="1:14" ht="14.4" hidden="1" x14ac:dyDescent="0.3">
      <c r="A14" s="66"/>
      <c r="B14" s="69"/>
      <c r="C14" s="69"/>
      <c r="D14" s="69"/>
      <c r="E14" s="72"/>
      <c r="F14" s="39"/>
      <c r="G14" s="39"/>
      <c r="H14" s="40"/>
      <c r="I14" s="40"/>
      <c r="J14" s="40">
        <f t="shared" si="0"/>
        <v>182</v>
      </c>
      <c r="K14" s="38" t="s">
        <v>34</v>
      </c>
      <c r="L14" s="38" t="s">
        <v>1245</v>
      </c>
      <c r="M14" s="14" t="s">
        <v>57</v>
      </c>
      <c r="N14" s="15" t="s">
        <v>36</v>
      </c>
    </row>
    <row r="15" spans="1:14" ht="14.4" hidden="1" x14ac:dyDescent="0.3">
      <c r="A15" s="66"/>
      <c r="B15" s="69"/>
      <c r="C15" s="69"/>
      <c r="D15" s="69"/>
      <c r="E15" s="72"/>
      <c r="F15" s="39"/>
      <c r="G15" s="39"/>
      <c r="H15" s="40"/>
      <c r="I15" s="40"/>
      <c r="J15" s="40">
        <f t="shared" si="0"/>
        <v>182</v>
      </c>
      <c r="K15" s="38" t="s">
        <v>34</v>
      </c>
      <c r="L15" s="38" t="s">
        <v>1245</v>
      </c>
      <c r="M15" s="14" t="s">
        <v>58</v>
      </c>
      <c r="N15" s="15" t="s">
        <v>36</v>
      </c>
    </row>
    <row r="16" spans="1:14" ht="14.4" hidden="1" x14ac:dyDescent="0.3">
      <c r="A16" s="66"/>
      <c r="B16" s="69"/>
      <c r="C16" s="69"/>
      <c r="D16" s="69"/>
      <c r="E16" s="72"/>
      <c r="F16" s="39"/>
      <c r="G16" s="39"/>
      <c r="H16" s="40"/>
      <c r="I16" s="40"/>
      <c r="J16" s="40">
        <f t="shared" si="0"/>
        <v>182</v>
      </c>
      <c r="K16" s="38" t="s">
        <v>34</v>
      </c>
      <c r="L16" s="38" t="s">
        <v>1245</v>
      </c>
      <c r="M16" s="14" t="s">
        <v>59</v>
      </c>
      <c r="N16" s="15" t="s">
        <v>36</v>
      </c>
    </row>
    <row r="17" spans="1:14" ht="14.4" hidden="1" x14ac:dyDescent="0.3">
      <c r="A17" s="66"/>
      <c r="B17" s="69"/>
      <c r="C17" s="69"/>
      <c r="D17" s="69"/>
      <c r="E17" s="72"/>
      <c r="F17" s="39"/>
      <c r="G17" s="39"/>
      <c r="H17" s="40"/>
      <c r="I17" s="40"/>
      <c r="J17" s="40">
        <f t="shared" si="0"/>
        <v>182</v>
      </c>
      <c r="K17" s="38" t="s">
        <v>34</v>
      </c>
      <c r="L17" s="38" t="s">
        <v>1245</v>
      </c>
      <c r="M17" s="14" t="s">
        <v>60</v>
      </c>
      <c r="N17" s="15" t="s">
        <v>36</v>
      </c>
    </row>
    <row r="18" spans="1:14" ht="14.4" hidden="1" x14ac:dyDescent="0.3">
      <c r="A18" s="66"/>
      <c r="B18" s="69"/>
      <c r="C18" s="69"/>
      <c r="D18" s="69"/>
      <c r="E18" s="72"/>
      <c r="F18" s="39"/>
      <c r="G18" s="39"/>
      <c r="H18" s="40"/>
      <c r="I18" s="40"/>
      <c r="J18" s="40">
        <f t="shared" si="0"/>
        <v>182</v>
      </c>
      <c r="K18" s="38" t="s">
        <v>34</v>
      </c>
      <c r="L18" s="38" t="s">
        <v>1245</v>
      </c>
      <c r="M18" s="14" t="s">
        <v>61</v>
      </c>
      <c r="N18" s="15" t="s">
        <v>36</v>
      </c>
    </row>
    <row r="19" spans="1:14" ht="14.4" hidden="1" x14ac:dyDescent="0.3">
      <c r="A19" s="67"/>
      <c r="B19" s="70"/>
      <c r="C19" s="70"/>
      <c r="D19" s="70"/>
      <c r="E19" s="73"/>
      <c r="F19" s="39"/>
      <c r="G19" s="39"/>
      <c r="H19" s="40"/>
      <c r="I19" s="40"/>
      <c r="J19" s="40">
        <f t="shared" si="0"/>
        <v>182</v>
      </c>
      <c r="K19" s="38" t="s">
        <v>1245</v>
      </c>
      <c r="L19" s="38" t="s">
        <v>1246</v>
      </c>
      <c r="M19" s="14" t="s">
        <v>62</v>
      </c>
      <c r="N19" s="15" t="s">
        <v>63</v>
      </c>
    </row>
    <row r="20" spans="1:14" ht="14.4" x14ac:dyDescent="0.3">
      <c r="A20" s="65" t="s">
        <v>64</v>
      </c>
      <c r="B20" s="68" t="s">
        <v>65</v>
      </c>
      <c r="C20" s="68" t="s">
        <v>66</v>
      </c>
      <c r="D20" s="68" t="s">
        <v>67</v>
      </c>
      <c r="E20" s="71">
        <v>5</v>
      </c>
      <c r="F20" s="39" t="s">
        <v>18</v>
      </c>
      <c r="G20" s="39" t="s">
        <v>19</v>
      </c>
      <c r="H20" s="40">
        <v>45667</v>
      </c>
      <c r="I20" s="40">
        <v>45685</v>
      </c>
      <c r="J20" s="40">
        <f t="shared" si="0"/>
        <v>45866</v>
      </c>
      <c r="K20" s="37">
        <v>45796</v>
      </c>
      <c r="L20" s="38" t="s">
        <v>1247</v>
      </c>
      <c r="M20" s="14" t="s">
        <v>68</v>
      </c>
      <c r="N20" s="15" t="s">
        <v>21</v>
      </c>
    </row>
    <row r="21" spans="1:14" ht="14.4" x14ac:dyDescent="0.3">
      <c r="A21" s="66"/>
      <c r="B21" s="69"/>
      <c r="C21" s="69"/>
      <c r="D21" s="69"/>
      <c r="E21" s="72"/>
      <c r="F21" s="39"/>
      <c r="G21" s="39"/>
      <c r="H21" s="40"/>
      <c r="I21" s="40"/>
      <c r="J21" s="40">
        <f t="shared" si="0"/>
        <v>182</v>
      </c>
      <c r="K21" s="37">
        <v>45796</v>
      </c>
      <c r="L21" s="38" t="s">
        <v>1247</v>
      </c>
      <c r="M21" s="14" t="s">
        <v>69</v>
      </c>
      <c r="N21" s="15" t="s">
        <v>21</v>
      </c>
    </row>
    <row r="22" spans="1:14" ht="14.4" x14ac:dyDescent="0.3">
      <c r="A22" s="66"/>
      <c r="B22" s="69"/>
      <c r="C22" s="69"/>
      <c r="D22" s="69"/>
      <c r="E22" s="72"/>
      <c r="F22" s="39"/>
      <c r="G22" s="39"/>
      <c r="H22" s="40"/>
      <c r="I22" s="40"/>
      <c r="J22" s="40">
        <f t="shared" si="0"/>
        <v>182</v>
      </c>
      <c r="K22" s="37">
        <v>45796</v>
      </c>
      <c r="L22" s="38" t="s">
        <v>1247</v>
      </c>
      <c r="M22" s="14" t="s">
        <v>70</v>
      </c>
      <c r="N22" s="15" t="s">
        <v>21</v>
      </c>
    </row>
    <row r="23" spans="1:14" ht="14.4" x14ac:dyDescent="0.3">
      <c r="A23" s="66"/>
      <c r="B23" s="69"/>
      <c r="C23" s="69"/>
      <c r="D23" s="69"/>
      <c r="E23" s="72"/>
      <c r="F23" s="39"/>
      <c r="G23" s="39"/>
      <c r="H23" s="40"/>
      <c r="I23" s="40"/>
      <c r="J23" s="40">
        <f t="shared" si="0"/>
        <v>182</v>
      </c>
      <c r="K23" s="37">
        <v>45796</v>
      </c>
      <c r="L23" s="38" t="s">
        <v>1247</v>
      </c>
      <c r="M23" s="14" t="s">
        <v>71</v>
      </c>
      <c r="N23" s="15" t="s">
        <v>21</v>
      </c>
    </row>
    <row r="24" spans="1:14" ht="14.4" hidden="1" x14ac:dyDescent="0.3">
      <c r="A24" s="66"/>
      <c r="B24" s="69"/>
      <c r="C24" s="69"/>
      <c r="D24" s="69"/>
      <c r="E24" s="72"/>
      <c r="F24" s="39"/>
      <c r="G24" s="39"/>
      <c r="H24" s="40"/>
      <c r="I24" s="40"/>
      <c r="J24" s="40">
        <f t="shared" si="0"/>
        <v>182</v>
      </c>
      <c r="K24" s="38" t="s">
        <v>43</v>
      </c>
      <c r="L24" s="38" t="s">
        <v>43</v>
      </c>
      <c r="M24" s="14" t="s">
        <v>72</v>
      </c>
      <c r="N24" s="15" t="s">
        <v>73</v>
      </c>
    </row>
    <row r="25" spans="1:14" ht="14.4" x14ac:dyDescent="0.3">
      <c r="A25" s="66"/>
      <c r="B25" s="69"/>
      <c r="C25" s="69"/>
      <c r="D25" s="69"/>
      <c r="E25" s="72"/>
      <c r="F25" s="39"/>
      <c r="G25" s="39"/>
      <c r="H25" s="40"/>
      <c r="I25" s="40"/>
      <c r="J25" s="40">
        <f t="shared" si="0"/>
        <v>182</v>
      </c>
      <c r="K25" s="37">
        <v>45796</v>
      </c>
      <c r="L25" s="38" t="s">
        <v>1247</v>
      </c>
      <c r="M25" s="14" t="s">
        <v>74</v>
      </c>
      <c r="N25" s="15" t="s">
        <v>21</v>
      </c>
    </row>
    <row r="26" spans="1:14" ht="14.4" x14ac:dyDescent="0.3">
      <c r="A26" s="66"/>
      <c r="B26" s="69"/>
      <c r="C26" s="69"/>
      <c r="D26" s="69"/>
      <c r="E26" s="72"/>
      <c r="F26" s="39"/>
      <c r="G26" s="39"/>
      <c r="H26" s="40"/>
      <c r="I26" s="40"/>
      <c r="J26" s="40">
        <f t="shared" si="0"/>
        <v>182</v>
      </c>
      <c r="K26" s="37">
        <v>45796</v>
      </c>
      <c r="L26" s="38" t="s">
        <v>1247</v>
      </c>
      <c r="M26" s="14" t="s">
        <v>75</v>
      </c>
      <c r="N26" s="15" t="s">
        <v>21</v>
      </c>
    </row>
    <row r="27" spans="1:14" ht="14.4" x14ac:dyDescent="0.3">
      <c r="A27" s="66"/>
      <c r="B27" s="69"/>
      <c r="C27" s="69"/>
      <c r="D27" s="69"/>
      <c r="E27" s="72"/>
      <c r="F27" s="39"/>
      <c r="G27" s="39"/>
      <c r="H27" s="40"/>
      <c r="I27" s="40"/>
      <c r="J27" s="40">
        <f t="shared" si="0"/>
        <v>182</v>
      </c>
      <c r="K27" s="37">
        <v>45796</v>
      </c>
      <c r="L27" s="38" t="s">
        <v>1247</v>
      </c>
      <c r="M27" s="14" t="s">
        <v>76</v>
      </c>
      <c r="N27" s="15" t="s">
        <v>21</v>
      </c>
    </row>
    <row r="28" spans="1:14" ht="14.4" x14ac:dyDescent="0.3">
      <c r="A28" s="66"/>
      <c r="B28" s="69"/>
      <c r="C28" s="69"/>
      <c r="D28" s="69"/>
      <c r="E28" s="72"/>
      <c r="F28" s="39"/>
      <c r="G28" s="39"/>
      <c r="H28" s="40"/>
      <c r="I28" s="40"/>
      <c r="J28" s="40">
        <f t="shared" si="0"/>
        <v>182</v>
      </c>
      <c r="K28" s="37">
        <v>45796</v>
      </c>
      <c r="L28" s="38" t="s">
        <v>1247</v>
      </c>
      <c r="M28" s="12" t="s">
        <v>77</v>
      </c>
      <c r="N28" s="15" t="s">
        <v>21</v>
      </c>
    </row>
    <row r="29" spans="1:14" ht="14.4" x14ac:dyDescent="0.3">
      <c r="A29" s="66"/>
      <c r="B29" s="69"/>
      <c r="C29" s="69"/>
      <c r="D29" s="69"/>
      <c r="E29" s="72"/>
      <c r="F29" s="39"/>
      <c r="G29" s="39"/>
      <c r="H29" s="40"/>
      <c r="I29" s="40"/>
      <c r="J29" s="40">
        <f t="shared" si="0"/>
        <v>182</v>
      </c>
      <c r="K29" s="37">
        <v>45796</v>
      </c>
      <c r="L29" s="38" t="s">
        <v>1247</v>
      </c>
      <c r="M29" s="12" t="s">
        <v>78</v>
      </c>
      <c r="N29" s="15" t="s">
        <v>21</v>
      </c>
    </row>
    <row r="30" spans="1:14" ht="14.4" x14ac:dyDescent="0.3">
      <c r="A30" s="66"/>
      <c r="B30" s="69"/>
      <c r="C30" s="69"/>
      <c r="D30" s="69"/>
      <c r="E30" s="72"/>
      <c r="F30" s="39"/>
      <c r="G30" s="39"/>
      <c r="H30" s="40"/>
      <c r="I30" s="40"/>
      <c r="J30" s="40">
        <f t="shared" si="0"/>
        <v>182</v>
      </c>
      <c r="K30" s="37">
        <v>45796</v>
      </c>
      <c r="L30" s="38" t="s">
        <v>1247</v>
      </c>
      <c r="M30" s="14" t="s">
        <v>79</v>
      </c>
      <c r="N30" s="15" t="s">
        <v>21</v>
      </c>
    </row>
    <row r="31" spans="1:14" ht="14.4" hidden="1" x14ac:dyDescent="0.3">
      <c r="A31" s="66"/>
      <c r="B31" s="69"/>
      <c r="C31" s="69"/>
      <c r="D31" s="69"/>
      <c r="E31" s="72"/>
      <c r="F31" s="39"/>
      <c r="G31" s="39"/>
      <c r="H31" s="40"/>
      <c r="I31" s="40"/>
      <c r="J31" s="40">
        <f t="shared" si="0"/>
        <v>182</v>
      </c>
      <c r="K31" s="38" t="s">
        <v>43</v>
      </c>
      <c r="L31" s="38" t="s">
        <v>1248</v>
      </c>
      <c r="M31" s="14" t="s">
        <v>80</v>
      </c>
      <c r="N31" s="15" t="s">
        <v>43</v>
      </c>
    </row>
    <row r="32" spans="1:14" ht="14.4" x14ac:dyDescent="0.3">
      <c r="A32" s="67"/>
      <c r="B32" s="70"/>
      <c r="C32" s="70"/>
      <c r="D32" s="70"/>
      <c r="E32" s="73"/>
      <c r="F32" s="39"/>
      <c r="G32" s="39"/>
      <c r="H32" s="40"/>
      <c r="I32" s="40"/>
      <c r="J32" s="40">
        <f t="shared" si="0"/>
        <v>182</v>
      </c>
      <c r="K32" s="37">
        <v>45827</v>
      </c>
      <c r="L32" s="38" t="s">
        <v>1249</v>
      </c>
      <c r="M32" s="14" t="s">
        <v>81</v>
      </c>
      <c r="N32" s="15" t="s">
        <v>21</v>
      </c>
    </row>
    <row r="33" spans="1:14" ht="14.4" hidden="1" x14ac:dyDescent="0.3">
      <c r="A33" s="65" t="s">
        <v>82</v>
      </c>
      <c r="B33" s="68" t="s">
        <v>83</v>
      </c>
      <c r="C33" s="68" t="s">
        <v>84</v>
      </c>
      <c r="D33" s="68" t="s">
        <v>85</v>
      </c>
      <c r="E33" s="71">
        <v>5</v>
      </c>
      <c r="F33" s="39" t="s">
        <v>18</v>
      </c>
      <c r="G33" s="39" t="s">
        <v>19</v>
      </c>
      <c r="H33" s="40">
        <v>45667</v>
      </c>
      <c r="I33" s="40">
        <v>45680</v>
      </c>
      <c r="J33" s="40">
        <f t="shared" si="0"/>
        <v>45861</v>
      </c>
      <c r="K33" s="38" t="s">
        <v>43</v>
      </c>
      <c r="L33" s="38" t="s">
        <v>43</v>
      </c>
      <c r="M33" s="14" t="s">
        <v>86</v>
      </c>
      <c r="N33" s="15" t="s">
        <v>73</v>
      </c>
    </row>
    <row r="34" spans="1:14" ht="14.4" hidden="1" x14ac:dyDescent="0.3">
      <c r="A34" s="67"/>
      <c r="B34" s="70"/>
      <c r="C34" s="70"/>
      <c r="D34" s="70"/>
      <c r="E34" s="73"/>
      <c r="F34" s="39"/>
      <c r="G34" s="39"/>
      <c r="H34" s="40"/>
      <c r="I34" s="40"/>
      <c r="J34" s="40">
        <f t="shared" si="0"/>
        <v>182</v>
      </c>
      <c r="K34" s="38" t="s">
        <v>43</v>
      </c>
      <c r="L34" s="38" t="s">
        <v>43</v>
      </c>
      <c r="M34" s="24" t="s">
        <v>87</v>
      </c>
      <c r="N34" s="15" t="s">
        <v>73</v>
      </c>
    </row>
    <row r="35" spans="1:14" ht="14.4" hidden="1" x14ac:dyDescent="0.3">
      <c r="A35" s="17" t="s">
        <v>88</v>
      </c>
      <c r="B35" s="18" t="s">
        <v>89</v>
      </c>
      <c r="C35" s="19" t="s">
        <v>90</v>
      </c>
      <c r="D35" s="20" t="s">
        <v>91</v>
      </c>
      <c r="E35" s="21">
        <v>7</v>
      </c>
      <c r="F35" s="12" t="s">
        <v>18</v>
      </c>
      <c r="G35" s="12" t="s">
        <v>19</v>
      </c>
      <c r="H35" s="13">
        <v>45667</v>
      </c>
      <c r="I35" s="22">
        <v>45680</v>
      </c>
      <c r="J35" s="22">
        <f t="shared" si="0"/>
        <v>45861</v>
      </c>
      <c r="K35" s="38" t="s">
        <v>43</v>
      </c>
      <c r="L35" s="38" t="s">
        <v>43</v>
      </c>
      <c r="M35" s="14" t="s">
        <v>92</v>
      </c>
      <c r="N35" s="15" t="s">
        <v>73</v>
      </c>
    </row>
    <row r="36" spans="1:14" ht="14.4" hidden="1" x14ac:dyDescent="0.3">
      <c r="A36" s="17" t="s">
        <v>93</v>
      </c>
      <c r="B36" s="18" t="s">
        <v>94</v>
      </c>
      <c r="C36" s="19" t="s">
        <v>95</v>
      </c>
      <c r="D36" s="20" t="s">
        <v>96</v>
      </c>
      <c r="E36" s="21">
        <v>6</v>
      </c>
      <c r="F36" s="12" t="s">
        <v>18</v>
      </c>
      <c r="G36" s="12" t="s">
        <v>19</v>
      </c>
      <c r="H36" s="13">
        <v>45667</v>
      </c>
      <c r="I36" s="22">
        <v>45680</v>
      </c>
      <c r="J36" s="22">
        <f t="shared" si="0"/>
        <v>45861</v>
      </c>
      <c r="K36" s="38" t="s">
        <v>34</v>
      </c>
      <c r="L36" s="38" t="s">
        <v>1250</v>
      </c>
      <c r="M36" s="14" t="s">
        <v>97</v>
      </c>
      <c r="N36" s="15" t="s">
        <v>36</v>
      </c>
    </row>
    <row r="37" spans="1:14" ht="14.4" hidden="1" x14ac:dyDescent="0.3">
      <c r="A37" s="65" t="s">
        <v>98</v>
      </c>
      <c r="B37" s="68" t="s">
        <v>99</v>
      </c>
      <c r="C37" s="68" t="s">
        <v>100</v>
      </c>
      <c r="D37" s="68" t="s">
        <v>101</v>
      </c>
      <c r="E37" s="71">
        <v>8</v>
      </c>
      <c r="F37" s="39" t="s">
        <v>18</v>
      </c>
      <c r="G37" s="39" t="s">
        <v>19</v>
      </c>
      <c r="H37" s="40">
        <v>45670</v>
      </c>
      <c r="I37" s="40">
        <v>45680</v>
      </c>
      <c r="J37" s="40">
        <f t="shared" si="0"/>
        <v>45861</v>
      </c>
      <c r="K37" s="38" t="s">
        <v>34</v>
      </c>
      <c r="L37" s="38" t="s">
        <v>1251</v>
      </c>
      <c r="M37" s="14" t="s">
        <v>102</v>
      </c>
      <c r="N37" s="15" t="s">
        <v>36</v>
      </c>
    </row>
    <row r="38" spans="1:14" ht="14.4" hidden="1" x14ac:dyDescent="0.3">
      <c r="A38" s="67"/>
      <c r="B38" s="70"/>
      <c r="C38" s="70"/>
      <c r="D38" s="70"/>
      <c r="E38" s="73"/>
      <c r="F38" s="39"/>
      <c r="G38" s="39"/>
      <c r="H38" s="40"/>
      <c r="I38" s="40"/>
      <c r="J38" s="40">
        <f t="shared" si="0"/>
        <v>182</v>
      </c>
      <c r="K38" s="38" t="s">
        <v>34</v>
      </c>
      <c r="L38" s="38" t="s">
        <v>1251</v>
      </c>
      <c r="M38" s="14" t="s">
        <v>103</v>
      </c>
      <c r="N38" s="15" t="s">
        <v>36</v>
      </c>
    </row>
    <row r="39" spans="1:14" ht="14.4" x14ac:dyDescent="0.3">
      <c r="A39" s="17" t="s">
        <v>104</v>
      </c>
      <c r="B39" s="18" t="s">
        <v>105</v>
      </c>
      <c r="C39" s="19" t="s">
        <v>106</v>
      </c>
      <c r="D39" s="20" t="s">
        <v>107</v>
      </c>
      <c r="E39" s="21">
        <v>8</v>
      </c>
      <c r="F39" s="12" t="s">
        <v>18</v>
      </c>
      <c r="G39" s="12" t="s">
        <v>19</v>
      </c>
      <c r="H39" s="13">
        <v>45671</v>
      </c>
      <c r="I39" s="22">
        <v>45685</v>
      </c>
      <c r="J39" s="22">
        <f t="shared" si="0"/>
        <v>45866</v>
      </c>
      <c r="K39" s="37">
        <v>45688</v>
      </c>
      <c r="L39" s="38" t="s">
        <v>1252</v>
      </c>
      <c r="M39" s="14" t="s">
        <v>108</v>
      </c>
      <c r="N39" s="15" t="s">
        <v>21</v>
      </c>
    </row>
    <row r="40" spans="1:14" ht="14.4" hidden="1" x14ac:dyDescent="0.3">
      <c r="A40" s="17" t="s">
        <v>109</v>
      </c>
      <c r="B40" s="18" t="s">
        <v>110</v>
      </c>
      <c r="C40" s="19" t="s">
        <v>111</v>
      </c>
      <c r="D40" s="20" t="s">
        <v>112</v>
      </c>
      <c r="E40" s="21">
        <v>2</v>
      </c>
      <c r="F40" s="12" t="s">
        <v>42</v>
      </c>
      <c r="G40" s="12" t="s">
        <v>19</v>
      </c>
      <c r="H40" s="13">
        <v>45672</v>
      </c>
      <c r="I40" s="22">
        <v>45685</v>
      </c>
      <c r="J40" s="22">
        <f t="shared" si="0"/>
        <v>45866</v>
      </c>
      <c r="K40" s="38" t="s">
        <v>43</v>
      </c>
      <c r="L40" s="38" t="s">
        <v>1253</v>
      </c>
      <c r="M40" s="12" t="s">
        <v>113</v>
      </c>
      <c r="N40" s="15" t="s">
        <v>43</v>
      </c>
    </row>
    <row r="41" spans="1:14" ht="14.4" hidden="1" x14ac:dyDescent="0.3">
      <c r="A41" s="65" t="s">
        <v>114</v>
      </c>
      <c r="B41" s="68" t="s">
        <v>115</v>
      </c>
      <c r="C41" s="68" t="s">
        <v>116</v>
      </c>
      <c r="D41" s="68" t="s">
        <v>117</v>
      </c>
      <c r="E41" s="71">
        <v>6</v>
      </c>
      <c r="F41" s="39" t="s">
        <v>18</v>
      </c>
      <c r="G41" s="39" t="s">
        <v>19</v>
      </c>
      <c r="H41" s="40">
        <v>45673</v>
      </c>
      <c r="I41" s="40">
        <v>45691</v>
      </c>
      <c r="J41" s="40">
        <f t="shared" si="0"/>
        <v>45872</v>
      </c>
      <c r="K41" s="38" t="s">
        <v>34</v>
      </c>
      <c r="L41" s="38" t="s">
        <v>1254</v>
      </c>
      <c r="M41" s="14" t="s">
        <v>118</v>
      </c>
      <c r="N41" s="15" t="s">
        <v>36</v>
      </c>
    </row>
    <row r="42" spans="1:14" ht="14.4" hidden="1" x14ac:dyDescent="0.3">
      <c r="A42" s="67"/>
      <c r="B42" s="70"/>
      <c r="C42" s="70"/>
      <c r="D42" s="70"/>
      <c r="E42" s="73"/>
      <c r="F42" s="39"/>
      <c r="G42" s="39"/>
      <c r="H42" s="40"/>
      <c r="I42" s="40"/>
      <c r="J42" s="40">
        <f t="shared" si="0"/>
        <v>182</v>
      </c>
      <c r="K42" s="38" t="s">
        <v>34</v>
      </c>
      <c r="L42" s="38" t="s">
        <v>1250</v>
      </c>
      <c r="M42" s="14" t="s">
        <v>119</v>
      </c>
      <c r="N42" s="15" t="s">
        <v>36</v>
      </c>
    </row>
    <row r="43" spans="1:14" ht="14.4" hidden="1" x14ac:dyDescent="0.3">
      <c r="A43" s="65" t="s">
        <v>120</v>
      </c>
      <c r="B43" s="68" t="s">
        <v>121</v>
      </c>
      <c r="C43" s="68" t="s">
        <v>122</v>
      </c>
      <c r="D43" s="68" t="s">
        <v>123</v>
      </c>
      <c r="E43" s="71">
        <v>4</v>
      </c>
      <c r="F43" s="39" t="s">
        <v>18</v>
      </c>
      <c r="G43" s="39" t="s">
        <v>19</v>
      </c>
      <c r="H43" s="40">
        <v>45673</v>
      </c>
      <c r="I43" s="40">
        <v>45691</v>
      </c>
      <c r="J43" s="40">
        <f t="shared" si="0"/>
        <v>45872</v>
      </c>
      <c r="K43" s="38" t="s">
        <v>34</v>
      </c>
      <c r="L43" s="38" t="s">
        <v>1255</v>
      </c>
      <c r="M43" s="12" t="s">
        <v>124</v>
      </c>
      <c r="N43" s="15" t="s">
        <v>36</v>
      </c>
    </row>
    <row r="44" spans="1:14" ht="14.4" hidden="1" x14ac:dyDescent="0.3">
      <c r="A44" s="66"/>
      <c r="B44" s="69"/>
      <c r="C44" s="69"/>
      <c r="D44" s="69"/>
      <c r="E44" s="72"/>
      <c r="F44" s="39"/>
      <c r="G44" s="39"/>
      <c r="H44" s="40"/>
      <c r="I44" s="40"/>
      <c r="J44" s="40">
        <f t="shared" si="0"/>
        <v>182</v>
      </c>
      <c r="K44" s="38" t="s">
        <v>34</v>
      </c>
      <c r="L44" s="38" t="s">
        <v>1255</v>
      </c>
      <c r="M44" s="12" t="s">
        <v>125</v>
      </c>
      <c r="N44" s="15" t="s">
        <v>36</v>
      </c>
    </row>
    <row r="45" spans="1:14" ht="14.4" hidden="1" x14ac:dyDescent="0.3">
      <c r="A45" s="66"/>
      <c r="B45" s="69"/>
      <c r="C45" s="69"/>
      <c r="D45" s="69"/>
      <c r="E45" s="72"/>
      <c r="F45" s="39"/>
      <c r="G45" s="39"/>
      <c r="H45" s="40"/>
      <c r="I45" s="40"/>
      <c r="J45" s="40">
        <f t="shared" si="0"/>
        <v>182</v>
      </c>
      <c r="K45" s="38" t="s">
        <v>34</v>
      </c>
      <c r="L45" s="38" t="s">
        <v>1255</v>
      </c>
      <c r="M45" s="12" t="s">
        <v>126</v>
      </c>
      <c r="N45" s="15" t="s">
        <v>36</v>
      </c>
    </row>
    <row r="46" spans="1:14" ht="14.4" hidden="1" x14ac:dyDescent="0.3">
      <c r="A46" s="66"/>
      <c r="B46" s="69"/>
      <c r="C46" s="69"/>
      <c r="D46" s="69"/>
      <c r="E46" s="72"/>
      <c r="F46" s="39"/>
      <c r="G46" s="39"/>
      <c r="H46" s="40"/>
      <c r="I46" s="40"/>
      <c r="J46" s="40">
        <f t="shared" si="0"/>
        <v>182</v>
      </c>
      <c r="K46" s="38" t="s">
        <v>43</v>
      </c>
      <c r="L46" s="38" t="s">
        <v>43</v>
      </c>
      <c r="M46" s="24" t="s">
        <v>127</v>
      </c>
      <c r="N46" s="15" t="s">
        <v>73</v>
      </c>
    </row>
    <row r="47" spans="1:14" ht="14.4" hidden="1" x14ac:dyDescent="0.3">
      <c r="A47" s="67"/>
      <c r="B47" s="70"/>
      <c r="C47" s="70"/>
      <c r="D47" s="70"/>
      <c r="E47" s="73"/>
      <c r="F47" s="39"/>
      <c r="G47" s="39"/>
      <c r="H47" s="40"/>
      <c r="I47" s="40"/>
      <c r="J47" s="40">
        <f t="shared" si="0"/>
        <v>182</v>
      </c>
      <c r="K47" s="38" t="s">
        <v>34</v>
      </c>
      <c r="L47" s="38" t="s">
        <v>1255</v>
      </c>
      <c r="M47" s="12" t="s">
        <v>128</v>
      </c>
      <c r="N47" s="15" t="s">
        <v>36</v>
      </c>
    </row>
    <row r="48" spans="1:14" ht="14.4" x14ac:dyDescent="0.3">
      <c r="A48" s="65" t="s">
        <v>129</v>
      </c>
      <c r="B48" s="68" t="s">
        <v>130</v>
      </c>
      <c r="C48" s="68" t="s">
        <v>131</v>
      </c>
      <c r="D48" s="68" t="s">
        <v>132</v>
      </c>
      <c r="E48" s="71">
        <v>7</v>
      </c>
      <c r="F48" s="39" t="s">
        <v>18</v>
      </c>
      <c r="G48" s="39" t="s">
        <v>19</v>
      </c>
      <c r="H48" s="40">
        <v>45674</v>
      </c>
      <c r="I48" s="40">
        <v>45691</v>
      </c>
      <c r="J48" s="40">
        <f t="shared" si="0"/>
        <v>45872</v>
      </c>
      <c r="K48" s="37">
        <v>45806</v>
      </c>
      <c r="L48" s="38" t="s">
        <v>1256</v>
      </c>
      <c r="M48" s="14" t="s">
        <v>133</v>
      </c>
      <c r="N48" s="15" t="s">
        <v>21</v>
      </c>
    </row>
    <row r="49" spans="1:14" ht="14.4" x14ac:dyDescent="0.3">
      <c r="A49" s="67"/>
      <c r="B49" s="70"/>
      <c r="C49" s="70"/>
      <c r="D49" s="70"/>
      <c r="E49" s="73"/>
      <c r="F49" s="39"/>
      <c r="G49" s="39"/>
      <c r="H49" s="40"/>
      <c r="I49" s="40"/>
      <c r="J49" s="40">
        <f t="shared" si="0"/>
        <v>182</v>
      </c>
      <c r="K49" s="37">
        <v>45806</v>
      </c>
      <c r="L49" s="38" t="s">
        <v>1256</v>
      </c>
      <c r="M49" s="14" t="s">
        <v>134</v>
      </c>
      <c r="N49" s="15" t="s">
        <v>21</v>
      </c>
    </row>
    <row r="50" spans="1:14" ht="14.4" hidden="1" x14ac:dyDescent="0.3">
      <c r="A50" s="17" t="s">
        <v>135</v>
      </c>
      <c r="B50" s="18" t="s">
        <v>136</v>
      </c>
      <c r="C50" s="19" t="s">
        <v>137</v>
      </c>
      <c r="D50" s="20" t="s">
        <v>138</v>
      </c>
      <c r="E50" s="21">
        <v>5</v>
      </c>
      <c r="F50" s="12" t="s">
        <v>18</v>
      </c>
      <c r="G50" s="12" t="s">
        <v>19</v>
      </c>
      <c r="H50" s="13">
        <v>45674</v>
      </c>
      <c r="I50" s="22">
        <v>45691</v>
      </c>
      <c r="J50" s="22">
        <f t="shared" si="0"/>
        <v>45872</v>
      </c>
      <c r="K50" s="37">
        <v>45305</v>
      </c>
      <c r="L50" s="38" t="s">
        <v>1257</v>
      </c>
      <c r="M50" s="12" t="s">
        <v>139</v>
      </c>
      <c r="N50" s="15" t="s">
        <v>140</v>
      </c>
    </row>
    <row r="51" spans="1:14" ht="14.4" hidden="1" x14ac:dyDescent="0.3">
      <c r="A51" s="17" t="s">
        <v>141</v>
      </c>
      <c r="B51" s="18" t="s">
        <v>142</v>
      </c>
      <c r="C51" s="19" t="s">
        <v>143</v>
      </c>
      <c r="D51" s="20" t="s">
        <v>132</v>
      </c>
      <c r="E51" s="21">
        <v>7</v>
      </c>
      <c r="F51" s="12" t="s">
        <v>18</v>
      </c>
      <c r="G51" s="12" t="s">
        <v>19</v>
      </c>
      <c r="H51" s="13">
        <v>45674</v>
      </c>
      <c r="I51" s="22">
        <v>45691</v>
      </c>
      <c r="J51" s="22">
        <f t="shared" si="0"/>
        <v>45872</v>
      </c>
      <c r="K51" s="38" t="s">
        <v>34</v>
      </c>
      <c r="L51" s="38" t="s">
        <v>1251</v>
      </c>
      <c r="M51" s="14" t="s">
        <v>144</v>
      </c>
      <c r="N51" s="15" t="s">
        <v>36</v>
      </c>
    </row>
    <row r="52" spans="1:14" ht="14.4" x14ac:dyDescent="0.3">
      <c r="A52" s="65" t="s">
        <v>145</v>
      </c>
      <c r="B52" s="68" t="s">
        <v>146</v>
      </c>
      <c r="C52" s="68" t="s">
        <v>147</v>
      </c>
      <c r="D52" s="68" t="s">
        <v>148</v>
      </c>
      <c r="E52" s="71">
        <v>9</v>
      </c>
      <c r="F52" s="39" t="s">
        <v>18</v>
      </c>
      <c r="G52" s="39" t="s">
        <v>19</v>
      </c>
      <c r="H52" s="40">
        <v>45677</v>
      </c>
      <c r="I52" s="41">
        <v>45694</v>
      </c>
      <c r="J52" s="41">
        <f t="shared" si="0"/>
        <v>45875</v>
      </c>
      <c r="K52" s="37">
        <v>45756</v>
      </c>
      <c r="L52" s="38" t="s">
        <v>1243</v>
      </c>
      <c r="M52" s="14" t="s">
        <v>149</v>
      </c>
      <c r="N52" s="15" t="s">
        <v>21</v>
      </c>
    </row>
    <row r="53" spans="1:14" ht="14.4" hidden="1" x14ac:dyDescent="0.3">
      <c r="A53" s="66"/>
      <c r="B53" s="69"/>
      <c r="C53" s="69"/>
      <c r="D53" s="69"/>
      <c r="E53" s="72"/>
      <c r="F53" s="39"/>
      <c r="G53" s="39"/>
      <c r="H53" s="40"/>
      <c r="I53" s="41"/>
      <c r="J53" s="41">
        <f t="shared" si="0"/>
        <v>182</v>
      </c>
      <c r="K53" s="38" t="s">
        <v>43</v>
      </c>
      <c r="L53" s="38" t="s">
        <v>716</v>
      </c>
      <c r="M53" s="14" t="s">
        <v>150</v>
      </c>
      <c r="N53" s="15" t="s">
        <v>43</v>
      </c>
    </row>
    <row r="54" spans="1:14" ht="14.4" x14ac:dyDescent="0.3">
      <c r="A54" s="66"/>
      <c r="B54" s="69"/>
      <c r="C54" s="69"/>
      <c r="D54" s="69"/>
      <c r="E54" s="72"/>
      <c r="F54" s="39"/>
      <c r="G54" s="39"/>
      <c r="H54" s="40"/>
      <c r="I54" s="41"/>
      <c r="J54" s="41">
        <f t="shared" si="0"/>
        <v>182</v>
      </c>
      <c r="K54" s="37">
        <v>45756</v>
      </c>
      <c r="L54" s="38" t="s">
        <v>1243</v>
      </c>
      <c r="M54" s="14" t="s">
        <v>151</v>
      </c>
      <c r="N54" s="15" t="s">
        <v>21</v>
      </c>
    </row>
    <row r="55" spans="1:14" ht="14.4" x14ac:dyDescent="0.3">
      <c r="A55" s="67"/>
      <c r="B55" s="70"/>
      <c r="C55" s="70"/>
      <c r="D55" s="70"/>
      <c r="E55" s="73"/>
      <c r="F55" s="39"/>
      <c r="G55" s="39"/>
      <c r="H55" s="40"/>
      <c r="I55" s="41"/>
      <c r="J55" s="41">
        <f t="shared" si="0"/>
        <v>182</v>
      </c>
      <c r="K55" s="37">
        <v>45756</v>
      </c>
      <c r="L55" s="38" t="s">
        <v>1243</v>
      </c>
      <c r="M55" s="14" t="s">
        <v>152</v>
      </c>
      <c r="N55" s="15" t="s">
        <v>21</v>
      </c>
    </row>
    <row r="56" spans="1:14" ht="14.4" hidden="1" x14ac:dyDescent="0.3">
      <c r="A56" s="65" t="s">
        <v>153</v>
      </c>
      <c r="B56" s="68" t="s">
        <v>154</v>
      </c>
      <c r="C56" s="68" t="s">
        <v>155</v>
      </c>
      <c r="D56" s="68" t="s">
        <v>156</v>
      </c>
      <c r="E56" s="71">
        <v>3</v>
      </c>
      <c r="F56" s="39" t="s">
        <v>18</v>
      </c>
      <c r="G56" s="39" t="s">
        <v>19</v>
      </c>
      <c r="H56" s="40">
        <v>45677</v>
      </c>
      <c r="I56" s="41">
        <v>45694</v>
      </c>
      <c r="J56" s="41">
        <f t="shared" si="0"/>
        <v>45875</v>
      </c>
      <c r="K56" s="38" t="s">
        <v>34</v>
      </c>
      <c r="L56" s="38" t="s">
        <v>1250</v>
      </c>
      <c r="M56" s="14" t="s">
        <v>157</v>
      </c>
      <c r="N56" s="15" t="s">
        <v>36</v>
      </c>
    </row>
    <row r="57" spans="1:14" ht="14.4" hidden="1" x14ac:dyDescent="0.3">
      <c r="A57" s="66"/>
      <c r="B57" s="69"/>
      <c r="C57" s="69"/>
      <c r="D57" s="69"/>
      <c r="E57" s="72"/>
      <c r="F57" s="39"/>
      <c r="G57" s="39"/>
      <c r="H57" s="40"/>
      <c r="I57" s="41"/>
      <c r="J57" s="41">
        <f t="shared" si="0"/>
        <v>182</v>
      </c>
      <c r="K57" s="38" t="s">
        <v>34</v>
      </c>
      <c r="L57" s="38" t="s">
        <v>1250</v>
      </c>
      <c r="M57" s="14" t="s">
        <v>158</v>
      </c>
      <c r="N57" s="15" t="s">
        <v>36</v>
      </c>
    </row>
    <row r="58" spans="1:14" ht="14.4" hidden="1" x14ac:dyDescent="0.3">
      <c r="A58" s="66"/>
      <c r="B58" s="69"/>
      <c r="C58" s="69"/>
      <c r="D58" s="69"/>
      <c r="E58" s="72"/>
      <c r="F58" s="39"/>
      <c r="G58" s="39"/>
      <c r="H58" s="40"/>
      <c r="I58" s="41"/>
      <c r="J58" s="41">
        <f t="shared" si="0"/>
        <v>182</v>
      </c>
      <c r="K58" s="38" t="s">
        <v>34</v>
      </c>
      <c r="L58" s="38" t="s">
        <v>1250</v>
      </c>
      <c r="M58" s="14" t="s">
        <v>159</v>
      </c>
      <c r="N58" s="15" t="s">
        <v>36</v>
      </c>
    </row>
    <row r="59" spans="1:14" ht="14.4" hidden="1" x14ac:dyDescent="0.3">
      <c r="A59" s="66"/>
      <c r="B59" s="69"/>
      <c r="C59" s="69"/>
      <c r="D59" s="69"/>
      <c r="E59" s="72"/>
      <c r="F59" s="39"/>
      <c r="G59" s="39"/>
      <c r="H59" s="40"/>
      <c r="I59" s="41"/>
      <c r="J59" s="41">
        <f t="shared" si="0"/>
        <v>182</v>
      </c>
      <c r="K59" s="38" t="s">
        <v>34</v>
      </c>
      <c r="L59" s="38" t="s">
        <v>1250</v>
      </c>
      <c r="M59" s="14" t="s">
        <v>160</v>
      </c>
      <c r="N59" s="15" t="s">
        <v>36</v>
      </c>
    </row>
    <row r="60" spans="1:14" ht="14.4" hidden="1" x14ac:dyDescent="0.3">
      <c r="A60" s="67"/>
      <c r="B60" s="70"/>
      <c r="C60" s="70"/>
      <c r="D60" s="70"/>
      <c r="E60" s="73"/>
      <c r="F60" s="39"/>
      <c r="G60" s="39"/>
      <c r="H60" s="40"/>
      <c r="I60" s="41"/>
      <c r="J60" s="41">
        <f t="shared" si="0"/>
        <v>182</v>
      </c>
      <c r="K60" s="38" t="s">
        <v>34</v>
      </c>
      <c r="L60" s="38" t="s">
        <v>1250</v>
      </c>
      <c r="M60" s="14" t="s">
        <v>161</v>
      </c>
      <c r="N60" s="15" t="s">
        <v>36</v>
      </c>
    </row>
    <row r="61" spans="1:14" ht="14.4" hidden="1" x14ac:dyDescent="0.3">
      <c r="A61" s="17" t="s">
        <v>162</v>
      </c>
      <c r="B61" s="18" t="s">
        <v>163</v>
      </c>
      <c r="C61" s="19" t="s">
        <v>164</v>
      </c>
      <c r="D61" s="20" t="s">
        <v>165</v>
      </c>
      <c r="E61" s="21">
        <v>5</v>
      </c>
      <c r="F61" s="12" t="s">
        <v>42</v>
      </c>
      <c r="G61" s="12" t="s">
        <v>19</v>
      </c>
      <c r="H61" s="13">
        <v>45678</v>
      </c>
      <c r="I61" s="22">
        <v>45698</v>
      </c>
      <c r="J61" s="22">
        <f t="shared" si="0"/>
        <v>45879</v>
      </c>
      <c r="K61" s="38" t="s">
        <v>43</v>
      </c>
      <c r="L61" s="38" t="s">
        <v>1253</v>
      </c>
      <c r="M61" s="12" t="s">
        <v>113</v>
      </c>
      <c r="N61" s="15" t="s">
        <v>43</v>
      </c>
    </row>
    <row r="62" spans="1:14" ht="14.4" hidden="1" x14ac:dyDescent="0.3">
      <c r="A62" s="17" t="s">
        <v>166</v>
      </c>
      <c r="B62" s="18" t="s">
        <v>167</v>
      </c>
      <c r="C62" s="19" t="s">
        <v>168</v>
      </c>
      <c r="D62" s="20" t="s">
        <v>169</v>
      </c>
      <c r="E62" s="21">
        <v>2</v>
      </c>
      <c r="F62" s="12" t="s">
        <v>18</v>
      </c>
      <c r="G62" s="12" t="s">
        <v>19</v>
      </c>
      <c r="H62" s="13">
        <v>45678</v>
      </c>
      <c r="I62" s="13">
        <v>45694</v>
      </c>
      <c r="J62" s="13">
        <f t="shared" si="0"/>
        <v>45875</v>
      </c>
      <c r="K62" s="38" t="s">
        <v>34</v>
      </c>
      <c r="L62" s="38" t="s">
        <v>1258</v>
      </c>
      <c r="M62" s="14" t="s">
        <v>170</v>
      </c>
      <c r="N62" s="15" t="s">
        <v>36</v>
      </c>
    </row>
    <row r="63" spans="1:14" ht="14.4" hidden="1" x14ac:dyDescent="0.3">
      <c r="A63" s="65" t="s">
        <v>171</v>
      </c>
      <c r="B63" s="68" t="s">
        <v>172</v>
      </c>
      <c r="C63" s="68" t="s">
        <v>173</v>
      </c>
      <c r="D63" s="68" t="s">
        <v>174</v>
      </c>
      <c r="E63" s="71">
        <v>4</v>
      </c>
      <c r="F63" s="39" t="s">
        <v>18</v>
      </c>
      <c r="G63" s="39" t="s">
        <v>19</v>
      </c>
      <c r="H63" s="40">
        <v>45679</v>
      </c>
      <c r="I63" s="40">
        <v>45694</v>
      </c>
      <c r="J63" s="40">
        <f t="shared" si="0"/>
        <v>45875</v>
      </c>
      <c r="K63" s="38" t="s">
        <v>34</v>
      </c>
      <c r="L63" s="38" t="s">
        <v>1245</v>
      </c>
      <c r="M63" s="14" t="s">
        <v>175</v>
      </c>
      <c r="N63" s="15" t="s">
        <v>36</v>
      </c>
    </row>
    <row r="64" spans="1:14" ht="14.4" hidden="1" x14ac:dyDescent="0.3">
      <c r="A64" s="67"/>
      <c r="B64" s="70"/>
      <c r="C64" s="70"/>
      <c r="D64" s="70"/>
      <c r="E64" s="73"/>
      <c r="F64" s="39"/>
      <c r="G64" s="39"/>
      <c r="H64" s="40"/>
      <c r="I64" s="40"/>
      <c r="J64" s="40">
        <f t="shared" si="0"/>
        <v>182</v>
      </c>
      <c r="K64" s="38" t="s">
        <v>43</v>
      </c>
      <c r="L64" s="38" t="s">
        <v>43</v>
      </c>
      <c r="M64" s="14" t="s">
        <v>176</v>
      </c>
      <c r="N64" s="15" t="s">
        <v>73</v>
      </c>
    </row>
    <row r="65" spans="1:14" ht="14.4" hidden="1" x14ac:dyDescent="0.3">
      <c r="A65" s="17" t="s">
        <v>177</v>
      </c>
      <c r="B65" s="18" t="s">
        <v>178</v>
      </c>
      <c r="C65" s="19" t="s">
        <v>179</v>
      </c>
      <c r="D65" s="20" t="s">
        <v>180</v>
      </c>
      <c r="E65" s="21">
        <v>6</v>
      </c>
      <c r="F65" s="12" t="s">
        <v>18</v>
      </c>
      <c r="G65" s="12" t="s">
        <v>19</v>
      </c>
      <c r="H65" s="13">
        <v>45679</v>
      </c>
      <c r="I65" s="13">
        <v>45694</v>
      </c>
      <c r="J65" s="13">
        <f t="shared" si="0"/>
        <v>45875</v>
      </c>
      <c r="K65" s="38" t="s">
        <v>34</v>
      </c>
      <c r="L65" s="38" t="s">
        <v>1250</v>
      </c>
      <c r="M65" s="14" t="s">
        <v>181</v>
      </c>
      <c r="N65" s="15" t="s">
        <v>36</v>
      </c>
    </row>
    <row r="66" spans="1:14" ht="14.4" hidden="1" x14ac:dyDescent="0.3">
      <c r="A66" s="65" t="s">
        <v>182</v>
      </c>
      <c r="B66" s="68" t="s">
        <v>183</v>
      </c>
      <c r="C66" s="68" t="s">
        <v>184</v>
      </c>
      <c r="D66" s="68" t="s">
        <v>185</v>
      </c>
      <c r="E66" s="71">
        <v>2</v>
      </c>
      <c r="F66" s="39" t="s">
        <v>18</v>
      </c>
      <c r="G66" s="39" t="s">
        <v>19</v>
      </c>
      <c r="H66" s="40">
        <v>45679</v>
      </c>
      <c r="I66" s="40">
        <v>45694</v>
      </c>
      <c r="J66" s="40">
        <f t="shared" si="0"/>
        <v>45875</v>
      </c>
      <c r="K66" s="38" t="s">
        <v>34</v>
      </c>
      <c r="L66" s="38" t="s">
        <v>1258</v>
      </c>
      <c r="M66" s="14" t="s">
        <v>186</v>
      </c>
      <c r="N66" s="15" t="s">
        <v>36</v>
      </c>
    </row>
    <row r="67" spans="1:14" ht="14.4" hidden="1" x14ac:dyDescent="0.3">
      <c r="A67" s="66"/>
      <c r="B67" s="69"/>
      <c r="C67" s="69"/>
      <c r="D67" s="69"/>
      <c r="E67" s="72"/>
      <c r="F67" s="39"/>
      <c r="G67" s="39"/>
      <c r="H67" s="40"/>
      <c r="I67" s="40"/>
      <c r="J67" s="40">
        <f t="shared" si="0"/>
        <v>182</v>
      </c>
      <c r="K67" s="38" t="s">
        <v>34</v>
      </c>
      <c r="L67" s="38" t="s">
        <v>1258</v>
      </c>
      <c r="M67" s="14" t="s">
        <v>187</v>
      </c>
      <c r="N67" s="15" t="s">
        <v>36</v>
      </c>
    </row>
    <row r="68" spans="1:14" ht="14.4" hidden="1" x14ac:dyDescent="0.3">
      <c r="A68" s="67"/>
      <c r="B68" s="70"/>
      <c r="C68" s="70"/>
      <c r="D68" s="70"/>
      <c r="E68" s="73"/>
      <c r="F68" s="39"/>
      <c r="G68" s="39"/>
      <c r="H68" s="40"/>
      <c r="I68" s="40"/>
      <c r="J68" s="40">
        <f t="shared" si="0"/>
        <v>182</v>
      </c>
      <c r="K68" s="38" t="s">
        <v>34</v>
      </c>
      <c r="L68" s="38" t="s">
        <v>1258</v>
      </c>
      <c r="M68" s="14" t="s">
        <v>188</v>
      </c>
      <c r="N68" s="15" t="s">
        <v>36</v>
      </c>
    </row>
    <row r="69" spans="1:14" ht="14.4" hidden="1" x14ac:dyDescent="0.3">
      <c r="A69" s="17" t="s">
        <v>189</v>
      </c>
      <c r="B69" s="18" t="s">
        <v>190</v>
      </c>
      <c r="C69" s="19" t="s">
        <v>191</v>
      </c>
      <c r="D69" s="20" t="s">
        <v>192</v>
      </c>
      <c r="E69" s="21">
        <v>3</v>
      </c>
      <c r="F69" s="12" t="s">
        <v>18</v>
      </c>
      <c r="G69" s="12" t="s">
        <v>19</v>
      </c>
      <c r="H69" s="13">
        <v>45679</v>
      </c>
      <c r="I69" s="13">
        <v>45694</v>
      </c>
      <c r="J69" s="13">
        <f t="shared" si="0"/>
        <v>45875</v>
      </c>
      <c r="K69" s="38" t="s">
        <v>34</v>
      </c>
      <c r="L69" s="38" t="s">
        <v>1258</v>
      </c>
      <c r="M69" s="14" t="s">
        <v>193</v>
      </c>
      <c r="N69" s="15" t="s">
        <v>36</v>
      </c>
    </row>
    <row r="70" spans="1:14" ht="14.4" x14ac:dyDescent="0.3">
      <c r="A70" s="17" t="s">
        <v>194</v>
      </c>
      <c r="B70" s="18" t="s">
        <v>195</v>
      </c>
      <c r="C70" s="19" t="s">
        <v>196</v>
      </c>
      <c r="D70" s="20" t="s">
        <v>197</v>
      </c>
      <c r="E70" s="21">
        <v>7</v>
      </c>
      <c r="F70" s="12" t="s">
        <v>18</v>
      </c>
      <c r="G70" s="12" t="s">
        <v>19</v>
      </c>
      <c r="H70" s="13">
        <v>45680</v>
      </c>
      <c r="I70" s="22">
        <v>45698</v>
      </c>
      <c r="J70" s="22">
        <f t="shared" si="0"/>
        <v>45879</v>
      </c>
      <c r="K70" s="37">
        <v>45821</v>
      </c>
      <c r="L70" s="38" t="s">
        <v>1259</v>
      </c>
      <c r="M70" s="14" t="s">
        <v>198</v>
      </c>
      <c r="N70" s="15" t="s">
        <v>21</v>
      </c>
    </row>
    <row r="71" spans="1:14" ht="14.4" x14ac:dyDescent="0.3">
      <c r="A71" s="65" t="s">
        <v>199</v>
      </c>
      <c r="B71" s="68" t="s">
        <v>200</v>
      </c>
      <c r="C71" s="68" t="s">
        <v>201</v>
      </c>
      <c r="D71" s="68" t="s">
        <v>202</v>
      </c>
      <c r="E71" s="71">
        <v>9</v>
      </c>
      <c r="F71" s="39" t="s">
        <v>18</v>
      </c>
      <c r="G71" s="39" t="s">
        <v>19</v>
      </c>
      <c r="H71" s="40">
        <v>45680</v>
      </c>
      <c r="I71" s="40">
        <v>45698</v>
      </c>
      <c r="J71" s="40">
        <f t="shared" si="0"/>
        <v>45879</v>
      </c>
      <c r="K71" s="37">
        <v>45756</v>
      </c>
      <c r="L71" s="38" t="s">
        <v>1243</v>
      </c>
      <c r="M71" s="14" t="s">
        <v>203</v>
      </c>
      <c r="N71" s="15" t="s">
        <v>21</v>
      </c>
    </row>
    <row r="72" spans="1:14" ht="14.4" x14ac:dyDescent="0.3">
      <c r="A72" s="66"/>
      <c r="B72" s="69"/>
      <c r="C72" s="69"/>
      <c r="D72" s="69"/>
      <c r="E72" s="72"/>
      <c r="F72" s="39"/>
      <c r="G72" s="39"/>
      <c r="H72" s="40"/>
      <c r="I72" s="40"/>
      <c r="J72" s="40">
        <f t="shared" ref="J72:J135" si="1">EDATE(I72,6)</f>
        <v>182</v>
      </c>
      <c r="K72" s="37">
        <v>45756</v>
      </c>
      <c r="L72" s="38" t="s">
        <v>1243</v>
      </c>
      <c r="M72" s="14" t="s">
        <v>204</v>
      </c>
      <c r="N72" s="15" t="s">
        <v>21</v>
      </c>
    </row>
    <row r="73" spans="1:14" ht="14.4" x14ac:dyDescent="0.3">
      <c r="A73" s="66"/>
      <c r="B73" s="69"/>
      <c r="C73" s="69"/>
      <c r="D73" s="69"/>
      <c r="E73" s="72"/>
      <c r="F73" s="39"/>
      <c r="G73" s="39"/>
      <c r="H73" s="40"/>
      <c r="I73" s="40"/>
      <c r="J73" s="40">
        <f t="shared" si="1"/>
        <v>182</v>
      </c>
      <c r="K73" s="37">
        <v>45756</v>
      </c>
      <c r="L73" s="38" t="s">
        <v>1243</v>
      </c>
      <c r="M73" s="14" t="s">
        <v>205</v>
      </c>
      <c r="N73" s="15" t="s">
        <v>21</v>
      </c>
    </row>
    <row r="74" spans="1:14" ht="14.4" x14ac:dyDescent="0.3">
      <c r="A74" s="67"/>
      <c r="B74" s="70"/>
      <c r="C74" s="70"/>
      <c r="D74" s="70"/>
      <c r="E74" s="73"/>
      <c r="F74" s="39"/>
      <c r="G74" s="39"/>
      <c r="H74" s="40"/>
      <c r="I74" s="40"/>
      <c r="J74" s="40">
        <f t="shared" si="1"/>
        <v>182</v>
      </c>
      <c r="K74" s="37">
        <v>45756</v>
      </c>
      <c r="L74" s="38" t="s">
        <v>1243</v>
      </c>
      <c r="M74" s="14" t="s">
        <v>206</v>
      </c>
      <c r="N74" s="15" t="s">
        <v>21</v>
      </c>
    </row>
    <row r="75" spans="1:14" ht="27.6" hidden="1" x14ac:dyDescent="0.3">
      <c r="A75" s="17" t="s">
        <v>207</v>
      </c>
      <c r="B75" s="18" t="s">
        <v>208</v>
      </c>
      <c r="C75" s="19" t="s">
        <v>209</v>
      </c>
      <c r="D75" s="20" t="s">
        <v>210</v>
      </c>
      <c r="E75" s="21">
        <v>1</v>
      </c>
      <c r="F75" s="12" t="s">
        <v>42</v>
      </c>
      <c r="G75" s="12" t="s">
        <v>19</v>
      </c>
      <c r="H75" s="13">
        <v>45681</v>
      </c>
      <c r="I75" s="22">
        <v>45699</v>
      </c>
      <c r="J75" s="22">
        <f t="shared" si="1"/>
        <v>45880</v>
      </c>
      <c r="K75" s="38" t="s">
        <v>43</v>
      </c>
      <c r="L75" s="38" t="s">
        <v>1253</v>
      </c>
      <c r="M75" s="12" t="s">
        <v>113</v>
      </c>
      <c r="N75" s="15" t="s">
        <v>43</v>
      </c>
    </row>
    <row r="76" spans="1:14" ht="14.4" hidden="1" x14ac:dyDescent="0.3">
      <c r="A76" s="17" t="s">
        <v>211</v>
      </c>
      <c r="B76" s="18" t="s">
        <v>212</v>
      </c>
      <c r="C76" s="19" t="s">
        <v>213</v>
      </c>
      <c r="D76" s="20" t="s">
        <v>214</v>
      </c>
      <c r="E76" s="21">
        <v>3</v>
      </c>
      <c r="F76" s="12" t="s">
        <v>42</v>
      </c>
      <c r="G76" s="12" t="s">
        <v>19</v>
      </c>
      <c r="H76" s="13">
        <v>45681</v>
      </c>
      <c r="I76" s="22">
        <v>45700</v>
      </c>
      <c r="J76" s="22">
        <f t="shared" si="1"/>
        <v>45881</v>
      </c>
      <c r="K76" s="38" t="s">
        <v>43</v>
      </c>
      <c r="L76" s="38" t="s">
        <v>1260</v>
      </c>
      <c r="M76" s="14" t="s">
        <v>215</v>
      </c>
      <c r="N76" s="15" t="s">
        <v>43</v>
      </c>
    </row>
    <row r="77" spans="1:14" ht="14.4" x14ac:dyDescent="0.3">
      <c r="A77" s="65" t="s">
        <v>216</v>
      </c>
      <c r="B77" s="68" t="s">
        <v>217</v>
      </c>
      <c r="C77" s="68" t="s">
        <v>218</v>
      </c>
      <c r="D77" s="68" t="s">
        <v>219</v>
      </c>
      <c r="E77" s="71">
        <v>7</v>
      </c>
      <c r="F77" s="39" t="s">
        <v>18</v>
      </c>
      <c r="G77" s="39" t="s">
        <v>19</v>
      </c>
      <c r="H77" s="40">
        <v>45684</v>
      </c>
      <c r="I77" s="40">
        <v>45701</v>
      </c>
      <c r="J77" s="40">
        <f t="shared" si="1"/>
        <v>45882</v>
      </c>
      <c r="K77" s="37">
        <v>45827</v>
      </c>
      <c r="L77" s="38" t="s">
        <v>1249</v>
      </c>
      <c r="M77" s="14" t="s">
        <v>220</v>
      </c>
      <c r="N77" s="15" t="s">
        <v>21</v>
      </c>
    </row>
    <row r="78" spans="1:14" ht="14.4" x14ac:dyDescent="0.3">
      <c r="A78" s="67"/>
      <c r="B78" s="70"/>
      <c r="C78" s="70"/>
      <c r="D78" s="70"/>
      <c r="E78" s="73"/>
      <c r="F78" s="39"/>
      <c r="G78" s="39"/>
      <c r="H78" s="40"/>
      <c r="I78" s="40"/>
      <c r="J78" s="40">
        <f t="shared" si="1"/>
        <v>182</v>
      </c>
      <c r="K78" s="37">
        <v>45827</v>
      </c>
      <c r="L78" s="38" t="s">
        <v>1249</v>
      </c>
      <c r="M78" s="14" t="s">
        <v>221</v>
      </c>
      <c r="N78" s="15" t="s">
        <v>21</v>
      </c>
    </row>
    <row r="79" spans="1:14" ht="14.4" hidden="1" x14ac:dyDescent="0.3">
      <c r="A79" s="17" t="s">
        <v>222</v>
      </c>
      <c r="B79" s="18" t="s">
        <v>223</v>
      </c>
      <c r="C79" s="19" t="s">
        <v>224</v>
      </c>
      <c r="D79" s="20" t="s">
        <v>123</v>
      </c>
      <c r="E79" s="21">
        <v>4</v>
      </c>
      <c r="F79" s="12" t="s">
        <v>18</v>
      </c>
      <c r="G79" s="12" t="s">
        <v>19</v>
      </c>
      <c r="H79" s="13">
        <v>45685</v>
      </c>
      <c r="I79" s="22">
        <v>45702</v>
      </c>
      <c r="J79" s="22">
        <f t="shared" si="1"/>
        <v>45883</v>
      </c>
      <c r="K79" s="38" t="s">
        <v>34</v>
      </c>
      <c r="L79" s="38" t="s">
        <v>1245</v>
      </c>
      <c r="M79" s="14" t="s">
        <v>225</v>
      </c>
      <c r="N79" s="15" t="s">
        <v>36</v>
      </c>
    </row>
    <row r="80" spans="1:14" ht="14.4" x14ac:dyDescent="0.3">
      <c r="A80" s="17" t="s">
        <v>226</v>
      </c>
      <c r="B80" s="18" t="s">
        <v>227</v>
      </c>
      <c r="C80" s="19" t="s">
        <v>228</v>
      </c>
      <c r="D80" s="20" t="s">
        <v>17</v>
      </c>
      <c r="E80" s="21">
        <v>1</v>
      </c>
      <c r="F80" s="12" t="s">
        <v>18</v>
      </c>
      <c r="G80" s="12" t="s">
        <v>19</v>
      </c>
      <c r="H80" s="13">
        <v>45685</v>
      </c>
      <c r="I80" s="22">
        <v>45702</v>
      </c>
      <c r="J80" s="22">
        <f t="shared" si="1"/>
        <v>45883</v>
      </c>
      <c r="K80" s="37">
        <v>45726</v>
      </c>
      <c r="L80" s="38" t="s">
        <v>1261</v>
      </c>
      <c r="M80" s="14" t="s">
        <v>229</v>
      </c>
      <c r="N80" s="15" t="s">
        <v>21</v>
      </c>
    </row>
    <row r="81" spans="1:14" ht="14.4" x14ac:dyDescent="0.3">
      <c r="A81" s="65" t="s">
        <v>230</v>
      </c>
      <c r="B81" s="68" t="s">
        <v>231</v>
      </c>
      <c r="C81" s="68" t="s">
        <v>232</v>
      </c>
      <c r="D81" s="68" t="s">
        <v>233</v>
      </c>
      <c r="E81" s="71">
        <v>7</v>
      </c>
      <c r="F81" s="39" t="s">
        <v>18</v>
      </c>
      <c r="G81" s="39" t="s">
        <v>19</v>
      </c>
      <c r="H81" s="40">
        <v>45687</v>
      </c>
      <c r="I81" s="40">
        <v>45706</v>
      </c>
      <c r="J81" s="40">
        <f t="shared" si="1"/>
        <v>45887</v>
      </c>
      <c r="K81" s="37">
        <v>45806</v>
      </c>
      <c r="L81" s="38" t="s">
        <v>1256</v>
      </c>
      <c r="M81" s="14" t="s">
        <v>234</v>
      </c>
      <c r="N81" s="15" t="s">
        <v>21</v>
      </c>
    </row>
    <row r="82" spans="1:14" ht="14.4" x14ac:dyDescent="0.3">
      <c r="A82" s="66"/>
      <c r="B82" s="69"/>
      <c r="C82" s="69"/>
      <c r="D82" s="69"/>
      <c r="E82" s="72"/>
      <c r="F82" s="39"/>
      <c r="G82" s="39"/>
      <c r="H82" s="40"/>
      <c r="I82" s="40"/>
      <c r="J82" s="40">
        <f t="shared" si="1"/>
        <v>182</v>
      </c>
      <c r="K82" s="37">
        <v>45824</v>
      </c>
      <c r="L82" s="38" t="s">
        <v>1262</v>
      </c>
      <c r="M82" s="14" t="s">
        <v>235</v>
      </c>
      <c r="N82" s="15" t="s">
        <v>21</v>
      </c>
    </row>
    <row r="83" spans="1:14" ht="14.4" x14ac:dyDescent="0.3">
      <c r="A83" s="67"/>
      <c r="B83" s="70"/>
      <c r="C83" s="70"/>
      <c r="D83" s="70"/>
      <c r="E83" s="73"/>
      <c r="F83" s="39"/>
      <c r="G83" s="39"/>
      <c r="H83" s="40"/>
      <c r="I83" s="40"/>
      <c r="J83" s="40">
        <f t="shared" si="1"/>
        <v>182</v>
      </c>
      <c r="K83" s="37">
        <v>45806</v>
      </c>
      <c r="L83" s="38" t="s">
        <v>1256</v>
      </c>
      <c r="M83" s="14" t="s">
        <v>236</v>
      </c>
      <c r="N83" s="15" t="s">
        <v>21</v>
      </c>
    </row>
    <row r="84" spans="1:14" ht="14.4" x14ac:dyDescent="0.3">
      <c r="A84" s="65" t="s">
        <v>237</v>
      </c>
      <c r="B84" s="68" t="s">
        <v>238</v>
      </c>
      <c r="C84" s="68" t="s">
        <v>239</v>
      </c>
      <c r="D84" s="68" t="s">
        <v>240</v>
      </c>
      <c r="E84" s="71">
        <v>9</v>
      </c>
      <c r="F84" s="39" t="s">
        <v>18</v>
      </c>
      <c r="G84" s="39" t="s">
        <v>19</v>
      </c>
      <c r="H84" s="40">
        <v>45688</v>
      </c>
      <c r="I84" s="40">
        <v>45707</v>
      </c>
      <c r="J84" s="40">
        <f t="shared" si="1"/>
        <v>45888</v>
      </c>
      <c r="K84" s="37">
        <v>45756</v>
      </c>
      <c r="L84" s="38" t="s">
        <v>1243</v>
      </c>
      <c r="M84" s="14" t="s">
        <v>241</v>
      </c>
      <c r="N84" s="15" t="s">
        <v>21</v>
      </c>
    </row>
    <row r="85" spans="1:14" ht="14.4" x14ac:dyDescent="0.3">
      <c r="A85" s="66"/>
      <c r="B85" s="69"/>
      <c r="C85" s="69"/>
      <c r="D85" s="69"/>
      <c r="E85" s="72"/>
      <c r="F85" s="39"/>
      <c r="G85" s="39"/>
      <c r="H85" s="40"/>
      <c r="I85" s="40"/>
      <c r="J85" s="40">
        <f t="shared" si="1"/>
        <v>182</v>
      </c>
      <c r="K85" s="37">
        <v>45756</v>
      </c>
      <c r="L85" s="38" t="s">
        <v>1243</v>
      </c>
      <c r="M85" s="14" t="s">
        <v>242</v>
      </c>
      <c r="N85" s="15" t="s">
        <v>21</v>
      </c>
    </row>
    <row r="86" spans="1:14" ht="14.4" x14ac:dyDescent="0.3">
      <c r="A86" s="66"/>
      <c r="B86" s="69"/>
      <c r="C86" s="69"/>
      <c r="D86" s="69"/>
      <c r="E86" s="72"/>
      <c r="F86" s="39"/>
      <c r="G86" s="39"/>
      <c r="H86" s="40"/>
      <c r="I86" s="40"/>
      <c r="J86" s="40">
        <f t="shared" si="1"/>
        <v>182</v>
      </c>
      <c r="K86" s="37">
        <v>45756</v>
      </c>
      <c r="L86" s="38" t="s">
        <v>1243</v>
      </c>
      <c r="M86" s="14" t="s">
        <v>243</v>
      </c>
      <c r="N86" s="15" t="s">
        <v>21</v>
      </c>
    </row>
    <row r="87" spans="1:14" ht="14.4" hidden="1" x14ac:dyDescent="0.3">
      <c r="A87" s="66"/>
      <c r="B87" s="69"/>
      <c r="C87" s="69"/>
      <c r="D87" s="69"/>
      <c r="E87" s="72"/>
      <c r="F87" s="39"/>
      <c r="G87" s="39"/>
      <c r="H87" s="40"/>
      <c r="I87" s="40"/>
      <c r="J87" s="40">
        <f t="shared" si="1"/>
        <v>182</v>
      </c>
      <c r="K87" s="38" t="s">
        <v>43</v>
      </c>
      <c r="L87" s="38" t="s">
        <v>1263</v>
      </c>
      <c r="M87" s="14" t="s">
        <v>244</v>
      </c>
      <c r="N87" s="15" t="s">
        <v>43</v>
      </c>
    </row>
    <row r="88" spans="1:14" ht="14.4" hidden="1" x14ac:dyDescent="0.3">
      <c r="A88" s="66"/>
      <c r="B88" s="69"/>
      <c r="C88" s="69"/>
      <c r="D88" s="69"/>
      <c r="E88" s="72"/>
      <c r="F88" s="39"/>
      <c r="G88" s="39"/>
      <c r="H88" s="40"/>
      <c r="I88" s="40"/>
      <c r="J88" s="40">
        <f t="shared" si="1"/>
        <v>182</v>
      </c>
      <c r="K88" s="38" t="s">
        <v>43</v>
      </c>
      <c r="L88" s="38" t="s">
        <v>1264</v>
      </c>
      <c r="M88" s="14" t="s">
        <v>245</v>
      </c>
      <c r="N88" s="15" t="s">
        <v>43</v>
      </c>
    </row>
    <row r="89" spans="1:14" ht="14.4" hidden="1" x14ac:dyDescent="0.3">
      <c r="A89" s="66"/>
      <c r="B89" s="69"/>
      <c r="C89" s="69"/>
      <c r="D89" s="69"/>
      <c r="E89" s="72"/>
      <c r="F89" s="39"/>
      <c r="G89" s="39"/>
      <c r="H89" s="40"/>
      <c r="I89" s="40"/>
      <c r="J89" s="40">
        <f t="shared" si="1"/>
        <v>182</v>
      </c>
      <c r="K89" s="38" t="s">
        <v>43</v>
      </c>
      <c r="L89" s="38" t="s">
        <v>1264</v>
      </c>
      <c r="M89" s="14" t="s">
        <v>246</v>
      </c>
      <c r="N89" s="15" t="s">
        <v>43</v>
      </c>
    </row>
    <row r="90" spans="1:14" ht="14.4" x14ac:dyDescent="0.3">
      <c r="A90" s="66"/>
      <c r="B90" s="69"/>
      <c r="C90" s="69"/>
      <c r="D90" s="69"/>
      <c r="E90" s="72"/>
      <c r="F90" s="39"/>
      <c r="G90" s="39"/>
      <c r="H90" s="40"/>
      <c r="I90" s="40"/>
      <c r="J90" s="40">
        <f t="shared" si="1"/>
        <v>182</v>
      </c>
      <c r="K90" s="37">
        <v>45775</v>
      </c>
      <c r="L90" s="38" t="s">
        <v>1265</v>
      </c>
      <c r="M90" s="14" t="s">
        <v>247</v>
      </c>
      <c r="N90" s="15" t="s">
        <v>21</v>
      </c>
    </row>
    <row r="91" spans="1:14" ht="14.4" hidden="1" x14ac:dyDescent="0.3">
      <c r="A91" s="66"/>
      <c r="B91" s="69"/>
      <c r="C91" s="69"/>
      <c r="D91" s="69"/>
      <c r="E91" s="72"/>
      <c r="F91" s="39"/>
      <c r="G91" s="39"/>
      <c r="H91" s="40"/>
      <c r="I91" s="40"/>
      <c r="J91" s="40">
        <f t="shared" si="1"/>
        <v>182</v>
      </c>
      <c r="K91" s="38" t="s">
        <v>43</v>
      </c>
      <c r="L91" s="38" t="s">
        <v>1264</v>
      </c>
      <c r="M91" s="14" t="s">
        <v>248</v>
      </c>
      <c r="N91" s="15" t="s">
        <v>43</v>
      </c>
    </row>
    <row r="92" spans="1:14" ht="14.4" hidden="1" x14ac:dyDescent="0.3">
      <c r="A92" s="67"/>
      <c r="B92" s="70"/>
      <c r="C92" s="70"/>
      <c r="D92" s="70"/>
      <c r="E92" s="73"/>
      <c r="F92" s="39"/>
      <c r="G92" s="39"/>
      <c r="H92" s="40"/>
      <c r="I92" s="40"/>
      <c r="J92" s="40">
        <f t="shared" si="1"/>
        <v>182</v>
      </c>
      <c r="K92" s="38" t="s">
        <v>43</v>
      </c>
      <c r="L92" s="38" t="s">
        <v>1264</v>
      </c>
      <c r="M92" s="14" t="s">
        <v>249</v>
      </c>
      <c r="N92" s="15" t="s">
        <v>43</v>
      </c>
    </row>
    <row r="93" spans="1:14" ht="14.4" x14ac:dyDescent="0.3">
      <c r="A93" s="17" t="s">
        <v>250</v>
      </c>
      <c r="B93" s="18" t="s">
        <v>251</v>
      </c>
      <c r="C93" s="19" t="s">
        <v>252</v>
      </c>
      <c r="D93" s="20" t="s">
        <v>253</v>
      </c>
      <c r="E93" s="21">
        <v>1</v>
      </c>
      <c r="F93" s="12" t="s">
        <v>18</v>
      </c>
      <c r="G93" s="12" t="s">
        <v>19</v>
      </c>
      <c r="H93" s="13">
        <v>45688</v>
      </c>
      <c r="I93" s="22">
        <v>45707</v>
      </c>
      <c r="J93" s="22">
        <f t="shared" si="1"/>
        <v>45888</v>
      </c>
      <c r="K93" s="37">
        <v>45747</v>
      </c>
      <c r="L93" s="38" t="s">
        <v>1266</v>
      </c>
      <c r="M93" s="14" t="s">
        <v>254</v>
      </c>
      <c r="N93" s="15" t="s">
        <v>21</v>
      </c>
    </row>
    <row r="94" spans="1:14" ht="14.4" hidden="1" x14ac:dyDescent="0.3">
      <c r="A94" s="17" t="s">
        <v>255</v>
      </c>
      <c r="B94" s="18" t="s">
        <v>256</v>
      </c>
      <c r="C94" s="19" t="s">
        <v>257</v>
      </c>
      <c r="D94" s="20" t="s">
        <v>258</v>
      </c>
      <c r="E94" s="21">
        <v>10</v>
      </c>
      <c r="F94" s="12" t="s">
        <v>42</v>
      </c>
      <c r="G94" s="12" t="s">
        <v>19</v>
      </c>
      <c r="H94" s="13">
        <v>45688</v>
      </c>
      <c r="I94" s="22">
        <v>45709</v>
      </c>
      <c r="J94" s="22">
        <f t="shared" si="1"/>
        <v>45890</v>
      </c>
      <c r="K94" s="38" t="s">
        <v>43</v>
      </c>
      <c r="L94" s="38" t="s">
        <v>1253</v>
      </c>
      <c r="M94" s="12" t="s">
        <v>113</v>
      </c>
      <c r="N94" s="15" t="s">
        <v>43</v>
      </c>
    </row>
    <row r="95" spans="1:14" ht="14.4" x14ac:dyDescent="0.3">
      <c r="A95" s="9" t="s">
        <v>259</v>
      </c>
      <c r="B95" s="25" t="s">
        <v>260</v>
      </c>
      <c r="C95" s="26" t="s">
        <v>261</v>
      </c>
      <c r="D95" s="10" t="s">
        <v>262</v>
      </c>
      <c r="E95" s="11">
        <v>9</v>
      </c>
      <c r="F95" s="12" t="s">
        <v>18</v>
      </c>
      <c r="G95" s="12" t="s">
        <v>19</v>
      </c>
      <c r="H95" s="13">
        <v>45691</v>
      </c>
      <c r="I95" s="22">
        <v>45708</v>
      </c>
      <c r="J95" s="22">
        <f t="shared" si="1"/>
        <v>45889</v>
      </c>
      <c r="K95" s="37">
        <v>45741</v>
      </c>
      <c r="L95" s="38" t="s">
        <v>1267</v>
      </c>
      <c r="M95" s="14" t="s">
        <v>263</v>
      </c>
      <c r="N95" s="15" t="s">
        <v>21</v>
      </c>
    </row>
    <row r="96" spans="1:14" ht="15" hidden="1" customHeight="1" x14ac:dyDescent="0.3">
      <c r="A96" s="42" t="s">
        <v>264</v>
      </c>
      <c r="B96" s="39" t="s">
        <v>265</v>
      </c>
      <c r="C96" s="58" t="s">
        <v>266</v>
      </c>
      <c r="D96" s="39" t="s">
        <v>267</v>
      </c>
      <c r="E96" s="43">
        <v>2</v>
      </c>
      <c r="F96" s="39" t="s">
        <v>18</v>
      </c>
      <c r="G96" s="39" t="s">
        <v>19</v>
      </c>
      <c r="H96" s="40">
        <v>45691</v>
      </c>
      <c r="I96" s="40">
        <v>45712</v>
      </c>
      <c r="J96" s="40">
        <f t="shared" si="1"/>
        <v>45893</v>
      </c>
      <c r="K96" s="37">
        <v>45741</v>
      </c>
      <c r="L96" s="38" t="s">
        <v>1267</v>
      </c>
      <c r="M96" s="14" t="s">
        <v>268</v>
      </c>
      <c r="N96" s="15" t="s">
        <v>269</v>
      </c>
    </row>
    <row r="97" spans="1:14" ht="14.4" hidden="1" x14ac:dyDescent="0.3">
      <c r="A97" s="42"/>
      <c r="B97" s="39"/>
      <c r="C97" s="58"/>
      <c r="D97" s="39"/>
      <c r="E97" s="43"/>
      <c r="F97" s="39"/>
      <c r="G97" s="39"/>
      <c r="H97" s="40"/>
      <c r="I97" s="40"/>
      <c r="J97" s="40">
        <f t="shared" si="1"/>
        <v>182</v>
      </c>
      <c r="K97" s="38" t="s">
        <v>43</v>
      </c>
      <c r="L97" s="38" t="s">
        <v>43</v>
      </c>
      <c r="M97" s="14">
        <v>1718907</v>
      </c>
      <c r="N97" s="15" t="s">
        <v>270</v>
      </c>
    </row>
    <row r="98" spans="1:14" ht="14.4" hidden="1" x14ac:dyDescent="0.3">
      <c r="A98" s="42"/>
      <c r="B98" s="39"/>
      <c r="C98" s="58"/>
      <c r="D98" s="39"/>
      <c r="E98" s="43"/>
      <c r="F98" s="39"/>
      <c r="G98" s="39"/>
      <c r="H98" s="40"/>
      <c r="I98" s="40"/>
      <c r="J98" s="40">
        <f t="shared" si="1"/>
        <v>182</v>
      </c>
      <c r="K98" s="37">
        <v>45741</v>
      </c>
      <c r="L98" s="38" t="s">
        <v>1267</v>
      </c>
      <c r="M98" s="14" t="s">
        <v>271</v>
      </c>
      <c r="N98" s="27" t="s">
        <v>272</v>
      </c>
    </row>
    <row r="99" spans="1:14" ht="14.4" hidden="1" x14ac:dyDescent="0.3">
      <c r="A99" s="42"/>
      <c r="B99" s="39"/>
      <c r="C99" s="58"/>
      <c r="D99" s="39"/>
      <c r="E99" s="43"/>
      <c r="F99" s="39"/>
      <c r="G99" s="39"/>
      <c r="H99" s="40"/>
      <c r="I99" s="40"/>
      <c r="J99" s="40">
        <f t="shared" si="1"/>
        <v>182</v>
      </c>
      <c r="K99" s="38" t="s">
        <v>43</v>
      </c>
      <c r="L99" s="38" t="s">
        <v>43</v>
      </c>
      <c r="M99" s="14" t="s">
        <v>273</v>
      </c>
      <c r="N99" s="15" t="s">
        <v>274</v>
      </c>
    </row>
    <row r="100" spans="1:14" ht="14.4" hidden="1" x14ac:dyDescent="0.3">
      <c r="A100" s="42"/>
      <c r="B100" s="39"/>
      <c r="C100" s="58"/>
      <c r="D100" s="39"/>
      <c r="E100" s="43"/>
      <c r="F100" s="39"/>
      <c r="G100" s="39"/>
      <c r="H100" s="40"/>
      <c r="I100" s="40"/>
      <c r="J100" s="40">
        <f t="shared" si="1"/>
        <v>182</v>
      </c>
      <c r="K100" s="38" t="s">
        <v>43</v>
      </c>
      <c r="L100" s="38" t="s">
        <v>43</v>
      </c>
      <c r="M100" s="14">
        <v>1721910</v>
      </c>
      <c r="N100" s="15" t="s">
        <v>270</v>
      </c>
    </row>
    <row r="101" spans="1:14" ht="14.4" hidden="1" x14ac:dyDescent="0.3">
      <c r="A101" s="42"/>
      <c r="B101" s="39"/>
      <c r="C101" s="58"/>
      <c r="D101" s="39"/>
      <c r="E101" s="43"/>
      <c r="F101" s="39"/>
      <c r="G101" s="39"/>
      <c r="H101" s="40"/>
      <c r="I101" s="40"/>
      <c r="J101" s="40">
        <f t="shared" si="1"/>
        <v>182</v>
      </c>
      <c r="K101" s="38" t="s">
        <v>43</v>
      </c>
      <c r="L101" s="38" t="s">
        <v>43</v>
      </c>
      <c r="M101" s="14">
        <v>1722911</v>
      </c>
      <c r="N101" s="15" t="s">
        <v>270</v>
      </c>
    </row>
    <row r="102" spans="1:14" ht="14.4" hidden="1" x14ac:dyDescent="0.3">
      <c r="A102" s="42"/>
      <c r="B102" s="39"/>
      <c r="C102" s="58"/>
      <c r="D102" s="39"/>
      <c r="E102" s="43"/>
      <c r="F102" s="39"/>
      <c r="G102" s="39"/>
      <c r="H102" s="40"/>
      <c r="I102" s="40"/>
      <c r="J102" s="40">
        <f t="shared" si="1"/>
        <v>182</v>
      </c>
      <c r="K102" s="38" t="s">
        <v>43</v>
      </c>
      <c r="L102" s="38" t="s">
        <v>43</v>
      </c>
      <c r="M102" s="14">
        <v>1724913</v>
      </c>
      <c r="N102" s="15" t="s">
        <v>270</v>
      </c>
    </row>
    <row r="103" spans="1:14" ht="14.4" hidden="1" x14ac:dyDescent="0.3">
      <c r="A103" s="42"/>
      <c r="B103" s="39"/>
      <c r="C103" s="58"/>
      <c r="D103" s="39"/>
      <c r="E103" s="43"/>
      <c r="F103" s="39"/>
      <c r="G103" s="39"/>
      <c r="H103" s="40"/>
      <c r="I103" s="40"/>
      <c r="J103" s="40">
        <f t="shared" si="1"/>
        <v>182</v>
      </c>
      <c r="K103" s="38" t="s">
        <v>43</v>
      </c>
      <c r="L103" s="38" t="s">
        <v>43</v>
      </c>
      <c r="M103" s="14">
        <v>1725914</v>
      </c>
      <c r="N103" s="15" t="s">
        <v>270</v>
      </c>
    </row>
    <row r="104" spans="1:14" ht="14.4" hidden="1" x14ac:dyDescent="0.3">
      <c r="A104" s="42"/>
      <c r="B104" s="39"/>
      <c r="C104" s="58"/>
      <c r="D104" s="39"/>
      <c r="E104" s="43"/>
      <c r="F104" s="39"/>
      <c r="G104" s="39"/>
      <c r="H104" s="40"/>
      <c r="I104" s="40"/>
      <c r="J104" s="40">
        <f t="shared" si="1"/>
        <v>182</v>
      </c>
      <c r="K104" s="37">
        <v>45741</v>
      </c>
      <c r="L104" s="38" t="s">
        <v>1267</v>
      </c>
      <c r="M104" s="28" t="s">
        <v>275</v>
      </c>
      <c r="N104" s="15" t="s">
        <v>276</v>
      </c>
    </row>
    <row r="105" spans="1:14" ht="14.4" hidden="1" x14ac:dyDescent="0.3">
      <c r="A105" s="42"/>
      <c r="B105" s="39"/>
      <c r="C105" s="58"/>
      <c r="D105" s="39"/>
      <c r="E105" s="43"/>
      <c r="F105" s="39"/>
      <c r="G105" s="39"/>
      <c r="H105" s="40"/>
      <c r="I105" s="40"/>
      <c r="J105" s="40">
        <f t="shared" si="1"/>
        <v>182</v>
      </c>
      <c r="K105" s="37">
        <v>45741</v>
      </c>
      <c r="L105" s="38" t="s">
        <v>1267</v>
      </c>
      <c r="M105" s="28" t="s">
        <v>277</v>
      </c>
      <c r="N105" s="15" t="s">
        <v>278</v>
      </c>
    </row>
    <row r="106" spans="1:14" ht="14.4" hidden="1" x14ac:dyDescent="0.3">
      <c r="A106" s="42"/>
      <c r="B106" s="39"/>
      <c r="C106" s="58"/>
      <c r="D106" s="39"/>
      <c r="E106" s="43"/>
      <c r="F106" s="39"/>
      <c r="G106" s="39"/>
      <c r="H106" s="40"/>
      <c r="I106" s="40"/>
      <c r="J106" s="40">
        <f t="shared" si="1"/>
        <v>182</v>
      </c>
      <c r="K106" s="37">
        <v>45741</v>
      </c>
      <c r="L106" s="38" t="s">
        <v>1267</v>
      </c>
      <c r="M106" s="28" t="s">
        <v>277</v>
      </c>
      <c r="N106" s="15" t="s">
        <v>278</v>
      </c>
    </row>
    <row r="107" spans="1:14" ht="14.4" x14ac:dyDescent="0.3">
      <c r="A107" s="42" t="s">
        <v>279</v>
      </c>
      <c r="B107" s="39" t="s">
        <v>280</v>
      </c>
      <c r="C107" s="39" t="s">
        <v>281</v>
      </c>
      <c r="D107" s="39" t="s">
        <v>267</v>
      </c>
      <c r="E107" s="43">
        <v>2</v>
      </c>
      <c r="F107" s="39" t="s">
        <v>18</v>
      </c>
      <c r="G107" s="39" t="s">
        <v>19</v>
      </c>
      <c r="H107" s="41">
        <v>45691</v>
      </c>
      <c r="I107" s="41">
        <v>45712</v>
      </c>
      <c r="J107" s="41">
        <f t="shared" si="1"/>
        <v>45893</v>
      </c>
      <c r="K107" s="37">
        <v>45741</v>
      </c>
      <c r="L107" s="38" t="s">
        <v>1267</v>
      </c>
      <c r="M107" s="14" t="s">
        <v>282</v>
      </c>
      <c r="N107" s="15" t="s">
        <v>21</v>
      </c>
    </row>
    <row r="108" spans="1:14" ht="14.4" x14ac:dyDescent="0.3">
      <c r="A108" s="42"/>
      <c r="B108" s="39"/>
      <c r="C108" s="39"/>
      <c r="D108" s="39"/>
      <c r="E108" s="43"/>
      <c r="F108" s="39"/>
      <c r="G108" s="39"/>
      <c r="H108" s="41"/>
      <c r="I108" s="41"/>
      <c r="J108" s="41">
        <f t="shared" si="1"/>
        <v>182</v>
      </c>
      <c r="K108" s="37">
        <v>45741</v>
      </c>
      <c r="L108" s="38" t="s">
        <v>1267</v>
      </c>
      <c r="M108" s="14" t="s">
        <v>283</v>
      </c>
      <c r="N108" s="15" t="s">
        <v>21</v>
      </c>
    </row>
    <row r="109" spans="1:14" ht="14.4" hidden="1" x14ac:dyDescent="0.3">
      <c r="A109" s="42"/>
      <c r="B109" s="39"/>
      <c r="C109" s="39"/>
      <c r="D109" s="39"/>
      <c r="E109" s="43"/>
      <c r="F109" s="39"/>
      <c r="G109" s="39"/>
      <c r="H109" s="41"/>
      <c r="I109" s="41"/>
      <c r="J109" s="41">
        <f t="shared" si="1"/>
        <v>182</v>
      </c>
      <c r="K109" s="38" t="s">
        <v>43</v>
      </c>
      <c r="L109" s="38" t="s">
        <v>43</v>
      </c>
      <c r="M109" s="14" t="s">
        <v>284</v>
      </c>
      <c r="N109" s="15" t="s">
        <v>270</v>
      </c>
    </row>
    <row r="110" spans="1:14" ht="14.4" hidden="1" x14ac:dyDescent="0.3">
      <c r="A110" s="42"/>
      <c r="B110" s="39"/>
      <c r="C110" s="39"/>
      <c r="D110" s="39"/>
      <c r="E110" s="43"/>
      <c r="F110" s="39"/>
      <c r="G110" s="39"/>
      <c r="H110" s="41"/>
      <c r="I110" s="41"/>
      <c r="J110" s="41">
        <f t="shared" si="1"/>
        <v>182</v>
      </c>
      <c r="K110" s="38" t="s">
        <v>1253</v>
      </c>
      <c r="L110" s="38" t="s">
        <v>43</v>
      </c>
      <c r="M110" s="14" t="s">
        <v>285</v>
      </c>
      <c r="N110" s="15" t="s">
        <v>270</v>
      </c>
    </row>
    <row r="111" spans="1:14" ht="14.4" x14ac:dyDescent="0.3">
      <c r="A111" s="42"/>
      <c r="B111" s="39"/>
      <c r="C111" s="39"/>
      <c r="D111" s="39"/>
      <c r="E111" s="43"/>
      <c r="F111" s="39"/>
      <c r="G111" s="39"/>
      <c r="H111" s="41"/>
      <c r="I111" s="41"/>
      <c r="J111" s="41">
        <f t="shared" si="1"/>
        <v>182</v>
      </c>
      <c r="K111" s="37">
        <v>45741</v>
      </c>
      <c r="L111" s="38" t="s">
        <v>1267</v>
      </c>
      <c r="M111" s="14" t="s">
        <v>286</v>
      </c>
      <c r="N111" s="15" t="s">
        <v>21</v>
      </c>
    </row>
    <row r="112" spans="1:14" ht="14.4" hidden="1" x14ac:dyDescent="0.3">
      <c r="A112" s="42"/>
      <c r="B112" s="39"/>
      <c r="C112" s="39"/>
      <c r="D112" s="39"/>
      <c r="E112" s="43"/>
      <c r="F112" s="39"/>
      <c r="G112" s="39"/>
      <c r="H112" s="41"/>
      <c r="I112" s="41"/>
      <c r="J112" s="41">
        <f t="shared" si="1"/>
        <v>182</v>
      </c>
      <c r="K112" s="38" t="s">
        <v>1253</v>
      </c>
      <c r="L112" s="38" t="s">
        <v>43</v>
      </c>
      <c r="M112" s="14" t="s">
        <v>287</v>
      </c>
      <c r="N112" s="15" t="s">
        <v>270</v>
      </c>
    </row>
    <row r="113" spans="1:14" ht="14.4" hidden="1" x14ac:dyDescent="0.3">
      <c r="A113" s="59" t="s">
        <v>288</v>
      </c>
      <c r="B113" s="61" t="s">
        <v>289</v>
      </c>
      <c r="C113" s="61" t="s">
        <v>290</v>
      </c>
      <c r="D113" s="61" t="s">
        <v>291</v>
      </c>
      <c r="E113" s="63">
        <v>10</v>
      </c>
      <c r="F113" s="39" t="s">
        <v>18</v>
      </c>
      <c r="G113" s="39" t="s">
        <v>19</v>
      </c>
      <c r="H113" s="41">
        <v>45691</v>
      </c>
      <c r="I113" s="41">
        <v>45712</v>
      </c>
      <c r="J113" s="41">
        <f t="shared" si="1"/>
        <v>45893</v>
      </c>
      <c r="K113" s="38" t="s">
        <v>43</v>
      </c>
      <c r="L113" s="38" t="s">
        <v>43</v>
      </c>
      <c r="M113" s="28" t="s">
        <v>292</v>
      </c>
      <c r="N113" s="15" t="s">
        <v>73</v>
      </c>
    </row>
    <row r="114" spans="1:14" ht="14.4" hidden="1" x14ac:dyDescent="0.3">
      <c r="A114" s="60"/>
      <c r="B114" s="62"/>
      <c r="C114" s="62"/>
      <c r="D114" s="62"/>
      <c r="E114" s="64"/>
      <c r="F114" s="39"/>
      <c r="G114" s="39"/>
      <c r="H114" s="41"/>
      <c r="I114" s="41"/>
      <c r="J114" s="41">
        <f t="shared" si="1"/>
        <v>182</v>
      </c>
      <c r="K114" s="38" t="s">
        <v>43</v>
      </c>
      <c r="L114" s="38" t="s">
        <v>43</v>
      </c>
      <c r="M114" s="28" t="s">
        <v>293</v>
      </c>
      <c r="N114" s="15" t="s">
        <v>73</v>
      </c>
    </row>
    <row r="115" spans="1:14" ht="14.4" hidden="1" x14ac:dyDescent="0.3">
      <c r="A115" s="60"/>
      <c r="B115" s="62"/>
      <c r="C115" s="62"/>
      <c r="D115" s="62"/>
      <c r="E115" s="64"/>
      <c r="F115" s="39"/>
      <c r="G115" s="39"/>
      <c r="H115" s="41"/>
      <c r="I115" s="41"/>
      <c r="J115" s="41">
        <f t="shared" si="1"/>
        <v>182</v>
      </c>
      <c r="K115" s="38" t="s">
        <v>43</v>
      </c>
      <c r="L115" s="38" t="s">
        <v>43</v>
      </c>
      <c r="M115" s="28" t="s">
        <v>294</v>
      </c>
      <c r="N115" s="15" t="s">
        <v>73</v>
      </c>
    </row>
    <row r="116" spans="1:14" ht="14.4" hidden="1" x14ac:dyDescent="0.3">
      <c r="A116" s="60"/>
      <c r="B116" s="62"/>
      <c r="C116" s="62"/>
      <c r="D116" s="62"/>
      <c r="E116" s="64"/>
      <c r="F116" s="39"/>
      <c r="G116" s="39"/>
      <c r="H116" s="41"/>
      <c r="I116" s="41"/>
      <c r="J116" s="41">
        <f t="shared" si="1"/>
        <v>182</v>
      </c>
      <c r="K116" s="38" t="s">
        <v>43</v>
      </c>
      <c r="L116" s="38" t="s">
        <v>43</v>
      </c>
      <c r="M116" s="28" t="s">
        <v>295</v>
      </c>
      <c r="N116" s="15" t="s">
        <v>73</v>
      </c>
    </row>
    <row r="117" spans="1:14" ht="14.4" hidden="1" x14ac:dyDescent="0.3">
      <c r="A117" s="60"/>
      <c r="B117" s="62"/>
      <c r="C117" s="62"/>
      <c r="D117" s="62"/>
      <c r="E117" s="64"/>
      <c r="F117" s="39"/>
      <c r="G117" s="39"/>
      <c r="H117" s="41"/>
      <c r="I117" s="41"/>
      <c r="J117" s="41">
        <f t="shared" si="1"/>
        <v>182</v>
      </c>
      <c r="K117" s="38" t="s">
        <v>43</v>
      </c>
      <c r="L117" s="38" t="s">
        <v>43</v>
      </c>
      <c r="M117" s="28" t="s">
        <v>296</v>
      </c>
      <c r="N117" s="15" t="s">
        <v>73</v>
      </c>
    </row>
    <row r="118" spans="1:14" ht="14.4" hidden="1" x14ac:dyDescent="0.3">
      <c r="A118" s="60"/>
      <c r="B118" s="62"/>
      <c r="C118" s="62"/>
      <c r="D118" s="62"/>
      <c r="E118" s="64"/>
      <c r="F118" s="39"/>
      <c r="G118" s="39"/>
      <c r="H118" s="41"/>
      <c r="I118" s="41"/>
      <c r="J118" s="41">
        <f t="shared" si="1"/>
        <v>182</v>
      </c>
      <c r="K118" s="38" t="s">
        <v>43</v>
      </c>
      <c r="L118" s="38" t="s">
        <v>43</v>
      </c>
      <c r="M118" s="28" t="s">
        <v>297</v>
      </c>
      <c r="N118" s="15" t="s">
        <v>73</v>
      </c>
    </row>
    <row r="119" spans="1:14" ht="14.4" hidden="1" x14ac:dyDescent="0.3">
      <c r="A119" s="60"/>
      <c r="B119" s="62"/>
      <c r="C119" s="62"/>
      <c r="D119" s="62"/>
      <c r="E119" s="64"/>
      <c r="F119" s="39"/>
      <c r="G119" s="39"/>
      <c r="H119" s="41"/>
      <c r="I119" s="41"/>
      <c r="J119" s="41">
        <f t="shared" si="1"/>
        <v>182</v>
      </c>
      <c r="K119" s="38" t="s">
        <v>43</v>
      </c>
      <c r="L119" s="38" t="s">
        <v>43</v>
      </c>
      <c r="M119" s="28" t="s">
        <v>298</v>
      </c>
      <c r="N119" s="15" t="s">
        <v>73</v>
      </c>
    </row>
    <row r="120" spans="1:14" ht="14.4" hidden="1" x14ac:dyDescent="0.3">
      <c r="A120" s="60"/>
      <c r="B120" s="62"/>
      <c r="C120" s="62"/>
      <c r="D120" s="62"/>
      <c r="E120" s="64"/>
      <c r="F120" s="39"/>
      <c r="G120" s="39"/>
      <c r="H120" s="41"/>
      <c r="I120" s="41"/>
      <c r="J120" s="41">
        <f t="shared" si="1"/>
        <v>182</v>
      </c>
      <c r="K120" s="38" t="s">
        <v>43</v>
      </c>
      <c r="L120" s="38" t="s">
        <v>43</v>
      </c>
      <c r="M120" s="28" t="s">
        <v>299</v>
      </c>
      <c r="N120" s="15" t="s">
        <v>73</v>
      </c>
    </row>
    <row r="121" spans="1:14" ht="14.4" hidden="1" x14ac:dyDescent="0.3">
      <c r="A121" s="60"/>
      <c r="B121" s="62"/>
      <c r="C121" s="62"/>
      <c r="D121" s="62"/>
      <c r="E121" s="64"/>
      <c r="F121" s="39"/>
      <c r="G121" s="39"/>
      <c r="H121" s="41"/>
      <c r="I121" s="41"/>
      <c r="J121" s="41">
        <f t="shared" si="1"/>
        <v>182</v>
      </c>
      <c r="K121" s="38" t="s">
        <v>43</v>
      </c>
      <c r="L121" s="38" t="s">
        <v>43</v>
      </c>
      <c r="M121" s="28" t="s">
        <v>300</v>
      </c>
      <c r="N121" s="15" t="s">
        <v>73</v>
      </c>
    </row>
    <row r="122" spans="1:14" ht="14.4" hidden="1" x14ac:dyDescent="0.3">
      <c r="A122" s="42" t="s">
        <v>301</v>
      </c>
      <c r="B122" s="39" t="s">
        <v>302</v>
      </c>
      <c r="C122" s="39" t="s">
        <v>303</v>
      </c>
      <c r="D122" s="39" t="s">
        <v>304</v>
      </c>
      <c r="E122" s="43">
        <v>6</v>
      </c>
      <c r="F122" s="39" t="s">
        <v>18</v>
      </c>
      <c r="G122" s="39" t="s">
        <v>19</v>
      </c>
      <c r="H122" s="41">
        <v>45691</v>
      </c>
      <c r="I122" s="41">
        <v>45712</v>
      </c>
      <c r="J122" s="41">
        <f t="shared" si="1"/>
        <v>45893</v>
      </c>
      <c r="K122" s="38" t="s">
        <v>43</v>
      </c>
      <c r="L122" s="38" t="s">
        <v>1250</v>
      </c>
      <c r="M122" s="28" t="s">
        <v>305</v>
      </c>
      <c r="N122" s="15" t="s">
        <v>306</v>
      </c>
    </row>
    <row r="123" spans="1:14" ht="14.4" hidden="1" x14ac:dyDescent="0.3">
      <c r="A123" s="42"/>
      <c r="B123" s="39"/>
      <c r="C123" s="39"/>
      <c r="D123" s="39"/>
      <c r="E123" s="43"/>
      <c r="F123" s="39"/>
      <c r="G123" s="39"/>
      <c r="H123" s="41"/>
      <c r="I123" s="41"/>
      <c r="J123" s="41">
        <f t="shared" si="1"/>
        <v>182</v>
      </c>
      <c r="K123" s="38" t="s">
        <v>43</v>
      </c>
      <c r="L123" s="38" t="s">
        <v>1250</v>
      </c>
      <c r="M123" s="28" t="s">
        <v>307</v>
      </c>
      <c r="N123" s="15" t="s">
        <v>308</v>
      </c>
    </row>
    <row r="124" spans="1:14" ht="14.4" hidden="1" x14ac:dyDescent="0.3">
      <c r="A124" s="42"/>
      <c r="B124" s="39"/>
      <c r="C124" s="39"/>
      <c r="D124" s="39"/>
      <c r="E124" s="43"/>
      <c r="F124" s="39"/>
      <c r="G124" s="39"/>
      <c r="H124" s="41"/>
      <c r="I124" s="41"/>
      <c r="J124" s="41">
        <f t="shared" si="1"/>
        <v>182</v>
      </c>
      <c r="K124" s="38" t="s">
        <v>43</v>
      </c>
      <c r="L124" s="38" t="s">
        <v>1250</v>
      </c>
      <c r="M124" s="28" t="s">
        <v>309</v>
      </c>
      <c r="N124" s="15" t="s">
        <v>310</v>
      </c>
    </row>
    <row r="125" spans="1:14" ht="14.4" x14ac:dyDescent="0.3">
      <c r="A125" s="42" t="s">
        <v>311</v>
      </c>
      <c r="B125" s="39" t="s">
        <v>312</v>
      </c>
      <c r="C125" s="39" t="s">
        <v>303</v>
      </c>
      <c r="D125" s="39" t="s">
        <v>304</v>
      </c>
      <c r="E125" s="43">
        <v>6</v>
      </c>
      <c r="F125" s="39" t="s">
        <v>18</v>
      </c>
      <c r="G125" s="39" t="s">
        <v>19</v>
      </c>
      <c r="H125" s="41">
        <v>45691</v>
      </c>
      <c r="I125" s="41">
        <v>45712</v>
      </c>
      <c r="J125" s="41">
        <f t="shared" si="1"/>
        <v>45893</v>
      </c>
      <c r="K125" s="37">
        <v>45392</v>
      </c>
      <c r="L125" s="38" t="s">
        <v>1268</v>
      </c>
      <c r="M125" s="14" t="s">
        <v>313</v>
      </c>
      <c r="N125" s="15" t="s">
        <v>21</v>
      </c>
    </row>
    <row r="126" spans="1:14" ht="14.4" x14ac:dyDescent="0.3">
      <c r="A126" s="42"/>
      <c r="B126" s="39"/>
      <c r="C126" s="39"/>
      <c r="D126" s="39"/>
      <c r="E126" s="43"/>
      <c r="F126" s="39"/>
      <c r="G126" s="39"/>
      <c r="H126" s="41"/>
      <c r="I126" s="41"/>
      <c r="J126" s="41">
        <f t="shared" si="1"/>
        <v>182</v>
      </c>
      <c r="K126" s="37">
        <v>45749</v>
      </c>
      <c r="L126" s="38" t="s">
        <v>1269</v>
      </c>
      <c r="M126" s="14" t="s">
        <v>314</v>
      </c>
      <c r="N126" s="15" t="s">
        <v>21</v>
      </c>
    </row>
    <row r="127" spans="1:14" ht="14.4" hidden="1" x14ac:dyDescent="0.3">
      <c r="A127" s="42"/>
      <c r="B127" s="39"/>
      <c r="C127" s="39"/>
      <c r="D127" s="39"/>
      <c r="E127" s="43"/>
      <c r="F127" s="39"/>
      <c r="G127" s="39"/>
      <c r="H127" s="41"/>
      <c r="I127" s="41"/>
      <c r="J127" s="41">
        <f t="shared" si="1"/>
        <v>182</v>
      </c>
      <c r="K127" s="38" t="s">
        <v>43</v>
      </c>
      <c r="L127" s="38" t="s">
        <v>716</v>
      </c>
      <c r="M127" s="14" t="s">
        <v>315</v>
      </c>
      <c r="N127" s="15" t="s">
        <v>43</v>
      </c>
    </row>
    <row r="128" spans="1:14" ht="14.4" x14ac:dyDescent="0.3">
      <c r="A128" s="42"/>
      <c r="B128" s="39"/>
      <c r="C128" s="39"/>
      <c r="D128" s="39"/>
      <c r="E128" s="43"/>
      <c r="F128" s="39"/>
      <c r="G128" s="39"/>
      <c r="H128" s="41"/>
      <c r="I128" s="41"/>
      <c r="J128" s="41">
        <f t="shared" si="1"/>
        <v>182</v>
      </c>
      <c r="K128" s="37">
        <v>45749</v>
      </c>
      <c r="L128" s="38" t="s">
        <v>1269</v>
      </c>
      <c r="M128" s="14" t="s">
        <v>316</v>
      </c>
      <c r="N128" s="15" t="s">
        <v>21</v>
      </c>
    </row>
    <row r="129" spans="1:14" ht="14.4" x14ac:dyDescent="0.3">
      <c r="A129" s="42"/>
      <c r="B129" s="39"/>
      <c r="C129" s="39"/>
      <c r="D129" s="39"/>
      <c r="E129" s="43"/>
      <c r="F129" s="39"/>
      <c r="G129" s="39"/>
      <c r="H129" s="41"/>
      <c r="I129" s="41"/>
      <c r="J129" s="41">
        <f t="shared" si="1"/>
        <v>182</v>
      </c>
      <c r="K129" s="37">
        <v>45749</v>
      </c>
      <c r="L129" s="38" t="s">
        <v>1270</v>
      </c>
      <c r="M129" s="14" t="s">
        <v>317</v>
      </c>
      <c r="N129" s="15" t="s">
        <v>21</v>
      </c>
    </row>
    <row r="130" spans="1:14" ht="14.4" hidden="1" x14ac:dyDescent="0.3">
      <c r="A130" s="9" t="s">
        <v>318</v>
      </c>
      <c r="B130" s="25" t="s">
        <v>319</v>
      </c>
      <c r="C130" s="26" t="s">
        <v>320</v>
      </c>
      <c r="D130" s="10" t="s">
        <v>138</v>
      </c>
      <c r="E130" s="11">
        <v>5</v>
      </c>
      <c r="F130" s="12" t="s">
        <v>18</v>
      </c>
      <c r="G130" s="12" t="s">
        <v>19</v>
      </c>
      <c r="H130" s="13">
        <v>45694</v>
      </c>
      <c r="I130" s="22">
        <v>45715</v>
      </c>
      <c r="J130" s="22">
        <f t="shared" si="1"/>
        <v>45896</v>
      </c>
      <c r="K130" s="38" t="s">
        <v>34</v>
      </c>
      <c r="L130" s="38" t="s">
        <v>1251</v>
      </c>
      <c r="M130" s="14" t="s">
        <v>321</v>
      </c>
      <c r="N130" s="15" t="s">
        <v>36</v>
      </c>
    </row>
    <row r="131" spans="1:14" ht="14.4" hidden="1" x14ac:dyDescent="0.3">
      <c r="A131" s="42" t="s">
        <v>322</v>
      </c>
      <c r="B131" s="39" t="s">
        <v>323</v>
      </c>
      <c r="C131" s="39" t="s">
        <v>324</v>
      </c>
      <c r="D131" s="39" t="s">
        <v>325</v>
      </c>
      <c r="E131" s="43">
        <v>10</v>
      </c>
      <c r="F131" s="39" t="s">
        <v>18</v>
      </c>
      <c r="G131" s="39" t="s">
        <v>19</v>
      </c>
      <c r="H131" s="41">
        <v>45694</v>
      </c>
      <c r="I131" s="41">
        <v>45715</v>
      </c>
      <c r="J131" s="41">
        <f t="shared" si="1"/>
        <v>45896</v>
      </c>
      <c r="K131" s="38" t="s">
        <v>34</v>
      </c>
      <c r="L131" s="38" t="s">
        <v>1255</v>
      </c>
      <c r="M131" s="14" t="s">
        <v>326</v>
      </c>
      <c r="N131" s="15" t="s">
        <v>36</v>
      </c>
    </row>
    <row r="132" spans="1:14" ht="14.4" hidden="1" x14ac:dyDescent="0.3">
      <c r="A132" s="42"/>
      <c r="B132" s="39"/>
      <c r="C132" s="39"/>
      <c r="D132" s="39"/>
      <c r="E132" s="43"/>
      <c r="F132" s="39"/>
      <c r="G132" s="39"/>
      <c r="H132" s="41"/>
      <c r="I132" s="41"/>
      <c r="J132" s="41">
        <f t="shared" si="1"/>
        <v>182</v>
      </c>
      <c r="K132" s="38" t="s">
        <v>34</v>
      </c>
      <c r="L132" s="38" t="s">
        <v>1255</v>
      </c>
      <c r="M132" s="14" t="s">
        <v>327</v>
      </c>
      <c r="N132" s="15" t="s">
        <v>36</v>
      </c>
    </row>
    <row r="133" spans="1:14" ht="14.4" x14ac:dyDescent="0.3">
      <c r="A133" s="42"/>
      <c r="B133" s="39"/>
      <c r="C133" s="39"/>
      <c r="D133" s="39"/>
      <c r="E133" s="43"/>
      <c r="F133" s="39"/>
      <c r="G133" s="39"/>
      <c r="H133" s="41"/>
      <c r="I133" s="41"/>
      <c r="J133" s="41">
        <f t="shared" si="1"/>
        <v>182</v>
      </c>
      <c r="K133" s="37">
        <v>45800</v>
      </c>
      <c r="L133" s="38" t="s">
        <v>1271</v>
      </c>
      <c r="M133" s="14" t="s">
        <v>328</v>
      </c>
      <c r="N133" s="15" t="s">
        <v>21</v>
      </c>
    </row>
    <row r="134" spans="1:14" ht="14.4" x14ac:dyDescent="0.3">
      <c r="A134" s="42"/>
      <c r="B134" s="39"/>
      <c r="C134" s="39"/>
      <c r="D134" s="39"/>
      <c r="E134" s="43"/>
      <c r="F134" s="39"/>
      <c r="G134" s="39"/>
      <c r="H134" s="41"/>
      <c r="I134" s="41"/>
      <c r="J134" s="41">
        <f t="shared" si="1"/>
        <v>182</v>
      </c>
      <c r="K134" s="37">
        <v>45800</v>
      </c>
      <c r="L134" s="38" t="s">
        <v>1271</v>
      </c>
      <c r="M134" s="14" t="s">
        <v>329</v>
      </c>
      <c r="N134" s="15" t="s">
        <v>21</v>
      </c>
    </row>
    <row r="135" spans="1:14" ht="14.4" x14ac:dyDescent="0.3">
      <c r="A135" s="42"/>
      <c r="B135" s="39"/>
      <c r="C135" s="39"/>
      <c r="D135" s="39"/>
      <c r="E135" s="43"/>
      <c r="F135" s="39"/>
      <c r="G135" s="39"/>
      <c r="H135" s="41"/>
      <c r="I135" s="41"/>
      <c r="J135" s="41">
        <f t="shared" si="1"/>
        <v>182</v>
      </c>
      <c r="K135" s="37">
        <v>45800</v>
      </c>
      <c r="L135" s="38" t="s">
        <v>1271</v>
      </c>
      <c r="M135" s="14" t="s">
        <v>330</v>
      </c>
      <c r="N135" s="15" t="s">
        <v>21</v>
      </c>
    </row>
    <row r="136" spans="1:14" ht="14.4" x14ac:dyDescent="0.3">
      <c r="A136" s="42"/>
      <c r="B136" s="39"/>
      <c r="C136" s="39"/>
      <c r="D136" s="39"/>
      <c r="E136" s="43"/>
      <c r="F136" s="39"/>
      <c r="G136" s="39"/>
      <c r="H136" s="41"/>
      <c r="I136" s="41"/>
      <c r="J136" s="41">
        <f t="shared" ref="J136:J199" si="2">EDATE(I136,6)</f>
        <v>182</v>
      </c>
      <c r="K136" s="37">
        <v>45800</v>
      </c>
      <c r="L136" s="38" t="s">
        <v>1271</v>
      </c>
      <c r="M136" s="14" t="s">
        <v>331</v>
      </c>
      <c r="N136" s="15" t="s">
        <v>21</v>
      </c>
    </row>
    <row r="137" spans="1:14" ht="14.4" x14ac:dyDescent="0.3">
      <c r="A137" s="42"/>
      <c r="B137" s="39"/>
      <c r="C137" s="39"/>
      <c r="D137" s="39"/>
      <c r="E137" s="43"/>
      <c r="F137" s="39"/>
      <c r="G137" s="39"/>
      <c r="H137" s="41"/>
      <c r="I137" s="41"/>
      <c r="J137" s="41">
        <f t="shared" si="2"/>
        <v>182</v>
      </c>
      <c r="K137" s="37">
        <v>45800</v>
      </c>
      <c r="L137" s="38" t="s">
        <v>1271</v>
      </c>
      <c r="M137" s="14" t="s">
        <v>332</v>
      </c>
      <c r="N137" s="15" t="s">
        <v>21</v>
      </c>
    </row>
    <row r="138" spans="1:14" ht="14.4" x14ac:dyDescent="0.3">
      <c r="A138" s="42"/>
      <c r="B138" s="39"/>
      <c r="C138" s="39"/>
      <c r="D138" s="39"/>
      <c r="E138" s="43"/>
      <c r="F138" s="39"/>
      <c r="G138" s="39"/>
      <c r="H138" s="41"/>
      <c r="I138" s="41"/>
      <c r="J138" s="41">
        <f t="shared" si="2"/>
        <v>182</v>
      </c>
      <c r="K138" s="37">
        <v>45800</v>
      </c>
      <c r="L138" s="38" t="s">
        <v>1271</v>
      </c>
      <c r="M138" s="14" t="s">
        <v>333</v>
      </c>
      <c r="N138" s="15" t="s">
        <v>21</v>
      </c>
    </row>
    <row r="139" spans="1:14" ht="14.4" x14ac:dyDescent="0.3">
      <c r="A139" s="42"/>
      <c r="B139" s="39"/>
      <c r="C139" s="39"/>
      <c r="D139" s="39"/>
      <c r="E139" s="43"/>
      <c r="F139" s="39"/>
      <c r="G139" s="39"/>
      <c r="H139" s="41"/>
      <c r="I139" s="41"/>
      <c r="J139" s="41">
        <f t="shared" si="2"/>
        <v>182</v>
      </c>
      <c r="K139" s="37">
        <v>45800</v>
      </c>
      <c r="L139" s="38" t="s">
        <v>1271</v>
      </c>
      <c r="M139" s="14" t="s">
        <v>334</v>
      </c>
      <c r="N139" s="15" t="s">
        <v>21</v>
      </c>
    </row>
    <row r="140" spans="1:14" ht="14.4" x14ac:dyDescent="0.3">
      <c r="A140" s="42"/>
      <c r="B140" s="39"/>
      <c r="C140" s="39"/>
      <c r="D140" s="39"/>
      <c r="E140" s="43"/>
      <c r="F140" s="39"/>
      <c r="G140" s="39"/>
      <c r="H140" s="41"/>
      <c r="I140" s="41"/>
      <c r="J140" s="41">
        <f t="shared" si="2"/>
        <v>182</v>
      </c>
      <c r="K140" s="37">
        <v>45800</v>
      </c>
      <c r="L140" s="38" t="s">
        <v>1271</v>
      </c>
      <c r="M140" s="14" t="s">
        <v>335</v>
      </c>
      <c r="N140" s="15" t="s">
        <v>21</v>
      </c>
    </row>
    <row r="141" spans="1:14" ht="14.4" x14ac:dyDescent="0.3">
      <c r="A141" s="42"/>
      <c r="B141" s="39"/>
      <c r="C141" s="39"/>
      <c r="D141" s="39"/>
      <c r="E141" s="43"/>
      <c r="F141" s="39"/>
      <c r="G141" s="39"/>
      <c r="H141" s="41"/>
      <c r="I141" s="41"/>
      <c r="J141" s="41">
        <f t="shared" si="2"/>
        <v>182</v>
      </c>
      <c r="K141" s="37">
        <v>45803</v>
      </c>
      <c r="L141" s="38" t="s">
        <v>1272</v>
      </c>
      <c r="M141" s="14" t="s">
        <v>336</v>
      </c>
      <c r="N141" s="15" t="s">
        <v>21</v>
      </c>
    </row>
    <row r="142" spans="1:14" ht="14.4" hidden="1" x14ac:dyDescent="0.3">
      <c r="A142" s="42"/>
      <c r="B142" s="39"/>
      <c r="C142" s="39"/>
      <c r="D142" s="39"/>
      <c r="E142" s="43"/>
      <c r="F142" s="39"/>
      <c r="G142" s="39"/>
      <c r="H142" s="41"/>
      <c r="I142" s="41"/>
      <c r="J142" s="41">
        <f t="shared" si="2"/>
        <v>182</v>
      </c>
      <c r="K142" s="38" t="s">
        <v>43</v>
      </c>
      <c r="L142" s="38" t="s">
        <v>43</v>
      </c>
      <c r="M142" s="28" t="s">
        <v>337</v>
      </c>
      <c r="N142" s="15" t="s">
        <v>73</v>
      </c>
    </row>
    <row r="143" spans="1:14" ht="14.4" x14ac:dyDescent="0.3">
      <c r="A143" s="9" t="s">
        <v>338</v>
      </c>
      <c r="B143" s="25" t="s">
        <v>339</v>
      </c>
      <c r="C143" s="26" t="s">
        <v>340</v>
      </c>
      <c r="D143" s="10" t="s">
        <v>341</v>
      </c>
      <c r="E143" s="11">
        <v>1</v>
      </c>
      <c r="F143" s="12" t="s">
        <v>18</v>
      </c>
      <c r="G143" s="12" t="s">
        <v>19</v>
      </c>
      <c r="H143" s="13">
        <v>45695</v>
      </c>
      <c r="I143" s="22">
        <v>45716</v>
      </c>
      <c r="J143" s="22">
        <f t="shared" si="2"/>
        <v>45897</v>
      </c>
      <c r="K143" s="37">
        <v>45728</v>
      </c>
      <c r="L143" s="38" t="s">
        <v>1239</v>
      </c>
      <c r="M143" s="14" t="s">
        <v>342</v>
      </c>
      <c r="N143" s="15" t="s">
        <v>21</v>
      </c>
    </row>
    <row r="144" spans="1:14" ht="14.4" x14ac:dyDescent="0.3">
      <c r="A144" s="42" t="s">
        <v>343</v>
      </c>
      <c r="B144" s="39" t="s">
        <v>344</v>
      </c>
      <c r="C144" s="39" t="s">
        <v>345</v>
      </c>
      <c r="D144" s="39" t="s">
        <v>346</v>
      </c>
      <c r="E144" s="43">
        <v>5</v>
      </c>
      <c r="F144" s="39" t="s">
        <v>18</v>
      </c>
      <c r="G144" s="39" t="s">
        <v>19</v>
      </c>
      <c r="H144" s="40">
        <v>45698</v>
      </c>
      <c r="I144" s="41">
        <v>45719</v>
      </c>
      <c r="J144" s="41">
        <f t="shared" si="2"/>
        <v>45903</v>
      </c>
      <c r="K144" s="37">
        <v>45796</v>
      </c>
      <c r="L144" s="38" t="s">
        <v>1273</v>
      </c>
      <c r="M144" s="14" t="s">
        <v>347</v>
      </c>
      <c r="N144" s="15" t="s">
        <v>21</v>
      </c>
    </row>
    <row r="145" spans="1:14" ht="14.4" x14ac:dyDescent="0.3">
      <c r="A145" s="42"/>
      <c r="B145" s="39"/>
      <c r="C145" s="39"/>
      <c r="D145" s="39"/>
      <c r="E145" s="43"/>
      <c r="F145" s="39"/>
      <c r="G145" s="39"/>
      <c r="H145" s="40"/>
      <c r="I145" s="41"/>
      <c r="J145" s="41">
        <f t="shared" si="2"/>
        <v>182</v>
      </c>
      <c r="K145" s="37">
        <v>45796</v>
      </c>
      <c r="L145" s="38" t="s">
        <v>1273</v>
      </c>
      <c r="M145" s="14" t="s">
        <v>348</v>
      </c>
      <c r="N145" s="15" t="s">
        <v>21</v>
      </c>
    </row>
    <row r="146" spans="1:14" ht="14.4" hidden="1" x14ac:dyDescent="0.3">
      <c r="A146" s="42" t="s">
        <v>349</v>
      </c>
      <c r="B146" s="39" t="s">
        <v>350</v>
      </c>
      <c r="C146" s="39" t="s">
        <v>351</v>
      </c>
      <c r="D146" s="39" t="s">
        <v>352</v>
      </c>
      <c r="E146" s="43">
        <v>5</v>
      </c>
      <c r="F146" s="39" t="s">
        <v>18</v>
      </c>
      <c r="G146" s="39" t="s">
        <v>19</v>
      </c>
      <c r="H146" s="40">
        <v>45698</v>
      </c>
      <c r="I146" s="41">
        <v>45719</v>
      </c>
      <c r="J146" s="41">
        <f t="shared" si="2"/>
        <v>45903</v>
      </c>
      <c r="K146" s="38" t="s">
        <v>34</v>
      </c>
      <c r="L146" s="38" t="s">
        <v>1251</v>
      </c>
      <c r="M146" s="14" t="s">
        <v>353</v>
      </c>
      <c r="N146" s="15" t="s">
        <v>36</v>
      </c>
    </row>
    <row r="147" spans="1:14" ht="14.4" hidden="1" x14ac:dyDescent="0.3">
      <c r="A147" s="42"/>
      <c r="B147" s="39"/>
      <c r="C147" s="39"/>
      <c r="D147" s="39"/>
      <c r="E147" s="43"/>
      <c r="F147" s="39"/>
      <c r="G147" s="39"/>
      <c r="H147" s="40"/>
      <c r="I147" s="41"/>
      <c r="J147" s="41">
        <f t="shared" si="2"/>
        <v>182</v>
      </c>
      <c r="K147" s="38" t="s">
        <v>43</v>
      </c>
      <c r="L147" s="38" t="s">
        <v>43</v>
      </c>
      <c r="M147" s="28" t="s">
        <v>354</v>
      </c>
      <c r="N147" s="15" t="s">
        <v>73</v>
      </c>
    </row>
    <row r="148" spans="1:14" ht="27.6" hidden="1" x14ac:dyDescent="0.3">
      <c r="A148" s="9" t="s">
        <v>355</v>
      </c>
      <c r="B148" s="25" t="s">
        <v>190</v>
      </c>
      <c r="C148" s="26" t="s">
        <v>356</v>
      </c>
      <c r="D148" s="10" t="s">
        <v>192</v>
      </c>
      <c r="E148" s="11">
        <v>3</v>
      </c>
      <c r="F148" s="12" t="s">
        <v>18</v>
      </c>
      <c r="G148" s="12" t="s">
        <v>19</v>
      </c>
      <c r="H148" s="13">
        <v>45699</v>
      </c>
      <c r="I148" s="22">
        <v>45720</v>
      </c>
      <c r="J148" s="22">
        <f t="shared" si="2"/>
        <v>45904</v>
      </c>
      <c r="K148" s="38" t="s">
        <v>34</v>
      </c>
      <c r="L148" s="38" t="s">
        <v>1258</v>
      </c>
      <c r="M148" s="14" t="s">
        <v>357</v>
      </c>
      <c r="N148" s="15" t="s">
        <v>36</v>
      </c>
    </row>
    <row r="149" spans="1:14" ht="14.4" hidden="1" x14ac:dyDescent="0.3">
      <c r="A149" s="42" t="s">
        <v>358</v>
      </c>
      <c r="B149" s="39" t="s">
        <v>359</v>
      </c>
      <c r="C149" s="39" t="s">
        <v>360</v>
      </c>
      <c r="D149" s="39" t="s">
        <v>361</v>
      </c>
      <c r="E149" s="43">
        <v>3</v>
      </c>
      <c r="F149" s="39" t="s">
        <v>18</v>
      </c>
      <c r="G149" s="39" t="s">
        <v>19</v>
      </c>
      <c r="H149" s="40">
        <v>45700</v>
      </c>
      <c r="I149" s="41">
        <v>45721</v>
      </c>
      <c r="J149" s="41">
        <f t="shared" si="2"/>
        <v>45905</v>
      </c>
      <c r="K149" s="38" t="s">
        <v>34</v>
      </c>
      <c r="L149" s="38" t="s">
        <v>716</v>
      </c>
      <c r="M149" s="14" t="s">
        <v>362</v>
      </c>
      <c r="N149" s="15" t="s">
        <v>43</v>
      </c>
    </row>
    <row r="150" spans="1:14" ht="14.4" hidden="1" x14ac:dyDescent="0.3">
      <c r="A150" s="42"/>
      <c r="B150" s="39"/>
      <c r="C150" s="39"/>
      <c r="D150" s="39"/>
      <c r="E150" s="43"/>
      <c r="F150" s="39"/>
      <c r="G150" s="39"/>
      <c r="H150" s="40"/>
      <c r="I150" s="41"/>
      <c r="J150" s="41">
        <f t="shared" si="2"/>
        <v>182</v>
      </c>
      <c r="K150" s="38" t="s">
        <v>34</v>
      </c>
      <c r="L150" s="38" t="s">
        <v>1258</v>
      </c>
      <c r="M150" s="14" t="s">
        <v>363</v>
      </c>
      <c r="N150" s="15" t="s">
        <v>36</v>
      </c>
    </row>
    <row r="151" spans="1:14" ht="14.4" x14ac:dyDescent="0.3">
      <c r="A151" s="17" t="s">
        <v>364</v>
      </c>
      <c r="B151" s="18" t="s">
        <v>365</v>
      </c>
      <c r="C151" s="19" t="s">
        <v>366</v>
      </c>
      <c r="D151" s="20" t="s">
        <v>367</v>
      </c>
      <c r="E151" s="21">
        <v>2</v>
      </c>
      <c r="F151" s="12" t="s">
        <v>18</v>
      </c>
      <c r="G151" s="12" t="s">
        <v>19</v>
      </c>
      <c r="H151" s="13">
        <v>45701</v>
      </c>
      <c r="I151" s="22">
        <v>45722</v>
      </c>
      <c r="J151" s="22">
        <f t="shared" si="2"/>
        <v>45906</v>
      </c>
      <c r="K151" s="37">
        <v>45754</v>
      </c>
      <c r="L151" s="38" t="s">
        <v>1274</v>
      </c>
      <c r="M151" s="14" t="s">
        <v>368</v>
      </c>
      <c r="N151" s="15" t="s">
        <v>21</v>
      </c>
    </row>
    <row r="152" spans="1:14" ht="14.4" hidden="1" x14ac:dyDescent="0.3">
      <c r="A152" s="17" t="s">
        <v>369</v>
      </c>
      <c r="B152" s="18" t="s">
        <v>212</v>
      </c>
      <c r="C152" s="19" t="s">
        <v>370</v>
      </c>
      <c r="D152" s="20" t="s">
        <v>214</v>
      </c>
      <c r="E152" s="21">
        <v>3</v>
      </c>
      <c r="F152" s="12" t="s">
        <v>18</v>
      </c>
      <c r="G152" s="12" t="s">
        <v>19</v>
      </c>
      <c r="H152" s="13">
        <v>45701</v>
      </c>
      <c r="I152" s="22">
        <v>45722</v>
      </c>
      <c r="J152" s="22">
        <f t="shared" si="2"/>
        <v>45906</v>
      </c>
      <c r="K152" s="38" t="s">
        <v>34</v>
      </c>
      <c r="L152" s="38" t="s">
        <v>1258</v>
      </c>
      <c r="M152" s="14" t="s">
        <v>371</v>
      </c>
      <c r="N152" s="15" t="s">
        <v>36</v>
      </c>
    </row>
    <row r="153" spans="1:14" ht="14.4" hidden="1" x14ac:dyDescent="0.3">
      <c r="A153" s="17" t="s">
        <v>372</v>
      </c>
      <c r="B153" s="18" t="s">
        <v>373</v>
      </c>
      <c r="C153" s="19" t="s">
        <v>374</v>
      </c>
      <c r="D153" s="20" t="s">
        <v>375</v>
      </c>
      <c r="E153" s="21">
        <v>8</v>
      </c>
      <c r="F153" s="12" t="s">
        <v>18</v>
      </c>
      <c r="G153" s="12" t="s">
        <v>19</v>
      </c>
      <c r="H153" s="13">
        <v>45705</v>
      </c>
      <c r="I153" s="22">
        <v>45726</v>
      </c>
      <c r="J153" s="22">
        <f t="shared" si="2"/>
        <v>45910</v>
      </c>
      <c r="K153" s="38" t="s">
        <v>34</v>
      </c>
      <c r="L153" s="38" t="s">
        <v>1251</v>
      </c>
      <c r="M153" s="14" t="s">
        <v>376</v>
      </c>
      <c r="N153" s="15" t="s">
        <v>36</v>
      </c>
    </row>
    <row r="154" spans="1:14" ht="14.4" hidden="1" x14ac:dyDescent="0.3">
      <c r="A154" s="9" t="s">
        <v>377</v>
      </c>
      <c r="B154" s="25" t="s">
        <v>378</v>
      </c>
      <c r="C154" s="26" t="s">
        <v>379</v>
      </c>
      <c r="D154" s="10" t="s">
        <v>380</v>
      </c>
      <c r="E154" s="11">
        <v>6</v>
      </c>
      <c r="F154" s="12" t="s">
        <v>18</v>
      </c>
      <c r="G154" s="12" t="s">
        <v>19</v>
      </c>
      <c r="H154" s="13">
        <v>45705</v>
      </c>
      <c r="I154" s="22">
        <v>45726</v>
      </c>
      <c r="J154" s="22">
        <f t="shared" si="2"/>
        <v>45910</v>
      </c>
      <c r="K154" s="38" t="s">
        <v>34</v>
      </c>
      <c r="L154" s="38" t="s">
        <v>1250</v>
      </c>
      <c r="M154" s="14" t="s">
        <v>381</v>
      </c>
      <c r="N154" s="15" t="s">
        <v>36</v>
      </c>
    </row>
    <row r="155" spans="1:14" ht="14.4" hidden="1" x14ac:dyDescent="0.3">
      <c r="A155" s="42" t="s">
        <v>382</v>
      </c>
      <c r="B155" s="39" t="s">
        <v>383</v>
      </c>
      <c r="C155" s="58" t="s">
        <v>384</v>
      </c>
      <c r="D155" s="39" t="s">
        <v>385</v>
      </c>
      <c r="E155" s="43">
        <v>2</v>
      </c>
      <c r="F155" s="39" t="s">
        <v>18</v>
      </c>
      <c r="G155" s="39" t="s">
        <v>19</v>
      </c>
      <c r="H155" s="40">
        <v>45705</v>
      </c>
      <c r="I155" s="41">
        <v>45726</v>
      </c>
      <c r="J155" s="41">
        <f t="shared" si="2"/>
        <v>45910</v>
      </c>
      <c r="K155" s="37">
        <v>45754</v>
      </c>
      <c r="L155" s="38" t="s">
        <v>1275</v>
      </c>
      <c r="M155" s="28" t="s">
        <v>386</v>
      </c>
      <c r="N155" s="15" t="s">
        <v>387</v>
      </c>
    </row>
    <row r="156" spans="1:14" ht="14.4" hidden="1" x14ac:dyDescent="0.3">
      <c r="A156" s="42"/>
      <c r="B156" s="39"/>
      <c r="C156" s="58"/>
      <c r="D156" s="39"/>
      <c r="E156" s="43"/>
      <c r="F156" s="39"/>
      <c r="G156" s="39"/>
      <c r="H156" s="40"/>
      <c r="I156" s="41"/>
      <c r="J156" s="41">
        <f t="shared" si="2"/>
        <v>182</v>
      </c>
      <c r="K156" s="37">
        <v>45754</v>
      </c>
      <c r="L156" s="38" t="s">
        <v>1275</v>
      </c>
      <c r="M156" s="28" t="s">
        <v>388</v>
      </c>
      <c r="N156" s="15" t="s">
        <v>389</v>
      </c>
    </row>
    <row r="157" spans="1:14" ht="14.4" hidden="1" x14ac:dyDescent="0.3">
      <c r="A157" s="42"/>
      <c r="B157" s="39"/>
      <c r="C157" s="58"/>
      <c r="D157" s="39"/>
      <c r="E157" s="43"/>
      <c r="F157" s="39"/>
      <c r="G157" s="39"/>
      <c r="H157" s="40"/>
      <c r="I157" s="41"/>
      <c r="J157" s="41">
        <f t="shared" si="2"/>
        <v>182</v>
      </c>
      <c r="K157" s="37">
        <v>45754</v>
      </c>
      <c r="L157" s="38" t="s">
        <v>1275</v>
      </c>
      <c r="M157" s="28" t="s">
        <v>390</v>
      </c>
      <c r="N157" s="15" t="s">
        <v>391</v>
      </c>
    </row>
    <row r="158" spans="1:14" ht="14.4" hidden="1" x14ac:dyDescent="0.3">
      <c r="A158" s="42"/>
      <c r="B158" s="39"/>
      <c r="C158" s="58"/>
      <c r="D158" s="39"/>
      <c r="E158" s="43"/>
      <c r="F158" s="39"/>
      <c r="G158" s="39"/>
      <c r="H158" s="40"/>
      <c r="I158" s="41"/>
      <c r="J158" s="41">
        <f t="shared" si="2"/>
        <v>182</v>
      </c>
      <c r="K158" s="37">
        <v>45754</v>
      </c>
      <c r="L158" s="38" t="s">
        <v>1275</v>
      </c>
      <c r="M158" s="28" t="s">
        <v>392</v>
      </c>
      <c r="N158" s="15" t="s">
        <v>393</v>
      </c>
    </row>
    <row r="159" spans="1:14" ht="14.4" hidden="1" x14ac:dyDescent="0.3">
      <c r="A159" s="42"/>
      <c r="B159" s="39"/>
      <c r="C159" s="58"/>
      <c r="D159" s="39"/>
      <c r="E159" s="43"/>
      <c r="F159" s="39"/>
      <c r="G159" s="39"/>
      <c r="H159" s="40"/>
      <c r="I159" s="41"/>
      <c r="J159" s="41">
        <f t="shared" si="2"/>
        <v>182</v>
      </c>
      <c r="K159" s="37">
        <v>45754</v>
      </c>
      <c r="L159" s="38" t="s">
        <v>1275</v>
      </c>
      <c r="M159" s="28" t="s">
        <v>394</v>
      </c>
      <c r="N159" s="15" t="s">
        <v>395</v>
      </c>
    </row>
    <row r="160" spans="1:14" ht="14.4" hidden="1" x14ac:dyDescent="0.3">
      <c r="A160" s="42"/>
      <c r="B160" s="39"/>
      <c r="C160" s="58"/>
      <c r="D160" s="39"/>
      <c r="E160" s="43"/>
      <c r="F160" s="39"/>
      <c r="G160" s="39"/>
      <c r="H160" s="40"/>
      <c r="I160" s="41"/>
      <c r="J160" s="41">
        <f t="shared" si="2"/>
        <v>182</v>
      </c>
      <c r="K160" s="37">
        <v>45754</v>
      </c>
      <c r="L160" s="38" t="s">
        <v>1275</v>
      </c>
      <c r="M160" s="28" t="s">
        <v>396</v>
      </c>
      <c r="N160" s="15" t="s">
        <v>397</v>
      </c>
    </row>
    <row r="161" spans="1:14" ht="14.4" hidden="1" x14ac:dyDescent="0.3">
      <c r="A161" s="42"/>
      <c r="B161" s="39"/>
      <c r="C161" s="58"/>
      <c r="D161" s="39"/>
      <c r="E161" s="43"/>
      <c r="F161" s="39"/>
      <c r="G161" s="39"/>
      <c r="H161" s="40"/>
      <c r="I161" s="41"/>
      <c r="J161" s="41">
        <f t="shared" si="2"/>
        <v>182</v>
      </c>
      <c r="K161" s="37">
        <v>45754</v>
      </c>
      <c r="L161" s="38" t="s">
        <v>1275</v>
      </c>
      <c r="M161" s="28" t="s">
        <v>398</v>
      </c>
      <c r="N161" s="15" t="s">
        <v>399</v>
      </c>
    </row>
    <row r="162" spans="1:14" ht="14.4" hidden="1" x14ac:dyDescent="0.3">
      <c r="A162" s="42"/>
      <c r="B162" s="39"/>
      <c r="C162" s="58"/>
      <c r="D162" s="39"/>
      <c r="E162" s="43"/>
      <c r="F162" s="39"/>
      <c r="G162" s="39"/>
      <c r="H162" s="40"/>
      <c r="I162" s="41"/>
      <c r="J162" s="41">
        <f t="shared" si="2"/>
        <v>182</v>
      </c>
      <c r="K162" s="37">
        <v>45754</v>
      </c>
      <c r="L162" s="38" t="s">
        <v>1274</v>
      </c>
      <c r="M162" s="28" t="s">
        <v>400</v>
      </c>
      <c r="N162" s="15" t="s">
        <v>401</v>
      </c>
    </row>
    <row r="163" spans="1:14" ht="14.4" hidden="1" x14ac:dyDescent="0.3">
      <c r="A163" s="42"/>
      <c r="B163" s="39"/>
      <c r="C163" s="58"/>
      <c r="D163" s="39"/>
      <c r="E163" s="43"/>
      <c r="F163" s="39"/>
      <c r="G163" s="39"/>
      <c r="H163" s="40"/>
      <c r="I163" s="41"/>
      <c r="J163" s="41">
        <f t="shared" si="2"/>
        <v>182</v>
      </c>
      <c r="K163" s="37">
        <v>45754</v>
      </c>
      <c r="L163" s="38" t="s">
        <v>1274</v>
      </c>
      <c r="M163" s="28" t="s">
        <v>402</v>
      </c>
      <c r="N163" s="15" t="s">
        <v>403</v>
      </c>
    </row>
    <row r="164" spans="1:14" ht="14.4" hidden="1" x14ac:dyDescent="0.3">
      <c r="A164" s="42"/>
      <c r="B164" s="39"/>
      <c r="C164" s="58"/>
      <c r="D164" s="39"/>
      <c r="E164" s="43"/>
      <c r="F164" s="39"/>
      <c r="G164" s="39"/>
      <c r="H164" s="40"/>
      <c r="I164" s="41"/>
      <c r="J164" s="41">
        <f t="shared" si="2"/>
        <v>182</v>
      </c>
      <c r="K164" s="37">
        <v>45754</v>
      </c>
      <c r="L164" s="38" t="s">
        <v>1274</v>
      </c>
      <c r="M164" s="28" t="s">
        <v>404</v>
      </c>
      <c r="N164" s="15" t="s">
        <v>405</v>
      </c>
    </row>
    <row r="165" spans="1:14" ht="14.4" hidden="1" x14ac:dyDescent="0.3">
      <c r="A165" s="42"/>
      <c r="B165" s="39"/>
      <c r="C165" s="58"/>
      <c r="D165" s="39"/>
      <c r="E165" s="43"/>
      <c r="F165" s="39"/>
      <c r="G165" s="39"/>
      <c r="H165" s="40"/>
      <c r="I165" s="41"/>
      <c r="J165" s="41">
        <f t="shared" si="2"/>
        <v>182</v>
      </c>
      <c r="K165" s="37">
        <v>45754</v>
      </c>
      <c r="L165" s="38" t="s">
        <v>1274</v>
      </c>
      <c r="M165" s="28" t="s">
        <v>406</v>
      </c>
      <c r="N165" s="15" t="s">
        <v>407</v>
      </c>
    </row>
    <row r="166" spans="1:14" ht="14.4" hidden="1" x14ac:dyDescent="0.3">
      <c r="A166" s="42"/>
      <c r="B166" s="39"/>
      <c r="C166" s="58"/>
      <c r="D166" s="39"/>
      <c r="E166" s="43"/>
      <c r="F166" s="39"/>
      <c r="G166" s="39"/>
      <c r="H166" s="40"/>
      <c r="I166" s="41"/>
      <c r="J166" s="41">
        <f t="shared" si="2"/>
        <v>182</v>
      </c>
      <c r="K166" s="37">
        <v>45754</v>
      </c>
      <c r="L166" s="38" t="s">
        <v>1274</v>
      </c>
      <c r="M166" s="28" t="s">
        <v>408</v>
      </c>
      <c r="N166" s="15" t="s">
        <v>409</v>
      </c>
    </row>
    <row r="167" spans="1:14" ht="14.4" hidden="1" x14ac:dyDescent="0.3">
      <c r="A167" s="42"/>
      <c r="B167" s="39"/>
      <c r="C167" s="58"/>
      <c r="D167" s="39"/>
      <c r="E167" s="43"/>
      <c r="F167" s="39"/>
      <c r="G167" s="39"/>
      <c r="H167" s="40"/>
      <c r="I167" s="41"/>
      <c r="J167" s="41">
        <f t="shared" si="2"/>
        <v>182</v>
      </c>
      <c r="K167" s="37">
        <v>45754</v>
      </c>
      <c r="L167" s="38" t="s">
        <v>1274</v>
      </c>
      <c r="M167" s="28" t="s">
        <v>410</v>
      </c>
      <c r="N167" s="15" t="s">
        <v>411</v>
      </c>
    </row>
    <row r="168" spans="1:14" ht="14.4" hidden="1" x14ac:dyDescent="0.3">
      <c r="A168" s="42"/>
      <c r="B168" s="39"/>
      <c r="C168" s="58"/>
      <c r="D168" s="39"/>
      <c r="E168" s="43"/>
      <c r="F168" s="39"/>
      <c r="G168" s="39"/>
      <c r="H168" s="40"/>
      <c r="I168" s="41"/>
      <c r="J168" s="41">
        <f t="shared" si="2"/>
        <v>182</v>
      </c>
      <c r="K168" s="37">
        <v>45754</v>
      </c>
      <c r="L168" s="38" t="s">
        <v>1274</v>
      </c>
      <c r="M168" s="28" t="s">
        <v>412</v>
      </c>
      <c r="N168" s="15" t="s">
        <v>413</v>
      </c>
    </row>
    <row r="169" spans="1:14" ht="14.4" hidden="1" x14ac:dyDescent="0.3">
      <c r="A169" s="42"/>
      <c r="B169" s="39"/>
      <c r="C169" s="58"/>
      <c r="D169" s="39"/>
      <c r="E169" s="43"/>
      <c r="F169" s="39"/>
      <c r="G169" s="39"/>
      <c r="H169" s="40"/>
      <c r="I169" s="41"/>
      <c r="J169" s="41">
        <f t="shared" si="2"/>
        <v>182</v>
      </c>
      <c r="K169" s="37">
        <v>45754</v>
      </c>
      <c r="L169" s="38" t="s">
        <v>1274</v>
      </c>
      <c r="M169" s="28" t="s">
        <v>414</v>
      </c>
      <c r="N169" s="15" t="s">
        <v>415</v>
      </c>
    </row>
    <row r="170" spans="1:14" ht="14.4" hidden="1" x14ac:dyDescent="0.3">
      <c r="A170" s="42" t="s">
        <v>416</v>
      </c>
      <c r="B170" s="39" t="s">
        <v>417</v>
      </c>
      <c r="C170" s="39" t="s">
        <v>418</v>
      </c>
      <c r="D170" s="39" t="s">
        <v>375</v>
      </c>
      <c r="E170" s="43">
        <v>8</v>
      </c>
      <c r="F170" s="39" t="s">
        <v>18</v>
      </c>
      <c r="G170" s="39" t="s">
        <v>19</v>
      </c>
      <c r="H170" s="40">
        <v>45706</v>
      </c>
      <c r="I170" s="41">
        <v>45727</v>
      </c>
      <c r="J170" s="41">
        <f t="shared" si="2"/>
        <v>45911</v>
      </c>
      <c r="K170" s="38" t="s">
        <v>34</v>
      </c>
      <c r="L170" s="38" t="s">
        <v>1251</v>
      </c>
      <c r="M170" s="14" t="s">
        <v>376</v>
      </c>
      <c r="N170" s="15" t="s">
        <v>419</v>
      </c>
    </row>
    <row r="171" spans="1:14" ht="14.4" hidden="1" x14ac:dyDescent="0.3">
      <c r="A171" s="42"/>
      <c r="B171" s="39"/>
      <c r="C171" s="39"/>
      <c r="D171" s="39"/>
      <c r="E171" s="43"/>
      <c r="F171" s="39"/>
      <c r="G171" s="39"/>
      <c r="H171" s="40"/>
      <c r="I171" s="41"/>
      <c r="J171" s="41">
        <f t="shared" si="2"/>
        <v>182</v>
      </c>
      <c r="K171" s="38" t="s">
        <v>34</v>
      </c>
      <c r="L171" s="38" t="s">
        <v>1251</v>
      </c>
      <c r="M171" s="14" t="s">
        <v>420</v>
      </c>
      <c r="N171" s="15" t="s">
        <v>36</v>
      </c>
    </row>
    <row r="172" spans="1:14" ht="14.4" hidden="1" x14ac:dyDescent="0.3">
      <c r="A172" s="42"/>
      <c r="B172" s="39"/>
      <c r="C172" s="39"/>
      <c r="D172" s="39"/>
      <c r="E172" s="43"/>
      <c r="F172" s="39"/>
      <c r="G172" s="39"/>
      <c r="H172" s="40"/>
      <c r="I172" s="41"/>
      <c r="J172" s="41">
        <f t="shared" si="2"/>
        <v>182</v>
      </c>
      <c r="K172" s="38" t="s">
        <v>34</v>
      </c>
      <c r="L172" s="38" t="s">
        <v>1251</v>
      </c>
      <c r="M172" s="14" t="s">
        <v>421</v>
      </c>
      <c r="N172" s="15" t="s">
        <v>36</v>
      </c>
    </row>
    <row r="173" spans="1:14" ht="14.4" hidden="1" x14ac:dyDescent="0.3">
      <c r="A173" s="42" t="s">
        <v>422</v>
      </c>
      <c r="B173" s="39" t="s">
        <v>423</v>
      </c>
      <c r="C173" s="39" t="s">
        <v>424</v>
      </c>
      <c r="D173" s="39" t="s">
        <v>219</v>
      </c>
      <c r="E173" s="43">
        <v>7</v>
      </c>
      <c r="F173" s="39" t="s">
        <v>18</v>
      </c>
      <c r="G173" s="39" t="s">
        <v>19</v>
      </c>
      <c r="H173" s="40">
        <v>45706</v>
      </c>
      <c r="I173" s="41">
        <v>45727</v>
      </c>
      <c r="J173" s="41">
        <f t="shared" si="2"/>
        <v>45911</v>
      </c>
      <c r="K173" s="37">
        <v>45712</v>
      </c>
      <c r="L173" s="38" t="s">
        <v>1276</v>
      </c>
      <c r="M173" s="28" t="s">
        <v>425</v>
      </c>
      <c r="N173" s="15" t="s">
        <v>419</v>
      </c>
    </row>
    <row r="174" spans="1:14" ht="14.4" hidden="1" x14ac:dyDescent="0.3">
      <c r="A174" s="42"/>
      <c r="B174" s="39"/>
      <c r="C174" s="39"/>
      <c r="D174" s="39"/>
      <c r="E174" s="43"/>
      <c r="F174" s="39"/>
      <c r="G174" s="39"/>
      <c r="H174" s="40"/>
      <c r="I174" s="41"/>
      <c r="J174" s="41">
        <f t="shared" si="2"/>
        <v>182</v>
      </c>
      <c r="K174" s="38" t="s">
        <v>43</v>
      </c>
      <c r="L174" s="38" t="s">
        <v>43</v>
      </c>
      <c r="M174" s="28">
        <v>163550</v>
      </c>
      <c r="N174" s="15" t="s">
        <v>270</v>
      </c>
    </row>
    <row r="175" spans="1:14" ht="14.4" hidden="1" x14ac:dyDescent="0.3">
      <c r="A175" s="42"/>
      <c r="B175" s="39"/>
      <c r="C175" s="39"/>
      <c r="D175" s="39"/>
      <c r="E175" s="43"/>
      <c r="F175" s="39"/>
      <c r="G175" s="39"/>
      <c r="H175" s="40"/>
      <c r="I175" s="41"/>
      <c r="J175" s="41">
        <f t="shared" si="2"/>
        <v>182</v>
      </c>
      <c r="K175" s="37">
        <v>45712</v>
      </c>
      <c r="L175" s="38" t="s">
        <v>1277</v>
      </c>
      <c r="M175" s="28" t="s">
        <v>426</v>
      </c>
      <c r="N175" s="15" t="s">
        <v>427</v>
      </c>
    </row>
    <row r="176" spans="1:14" ht="14.4" hidden="1" x14ac:dyDescent="0.3">
      <c r="A176" s="42"/>
      <c r="B176" s="39"/>
      <c r="C176" s="39"/>
      <c r="D176" s="39"/>
      <c r="E176" s="43"/>
      <c r="F176" s="39"/>
      <c r="G176" s="39"/>
      <c r="H176" s="40"/>
      <c r="I176" s="41"/>
      <c r="J176" s="41">
        <f t="shared" si="2"/>
        <v>182</v>
      </c>
      <c r="K176" s="38" t="s">
        <v>43</v>
      </c>
      <c r="L176" s="38" t="s">
        <v>43</v>
      </c>
      <c r="M176" s="28">
        <v>165548</v>
      </c>
      <c r="N176" s="15" t="s">
        <v>270</v>
      </c>
    </row>
    <row r="177" spans="1:14" ht="14.4" hidden="1" x14ac:dyDescent="0.3">
      <c r="A177" s="42"/>
      <c r="B177" s="39"/>
      <c r="C177" s="39"/>
      <c r="D177" s="39"/>
      <c r="E177" s="43"/>
      <c r="F177" s="39"/>
      <c r="G177" s="39"/>
      <c r="H177" s="40"/>
      <c r="I177" s="41"/>
      <c r="J177" s="41">
        <f t="shared" si="2"/>
        <v>182</v>
      </c>
      <c r="K177" s="37">
        <v>45712</v>
      </c>
      <c r="L177" s="38" t="s">
        <v>1277</v>
      </c>
      <c r="M177" s="28" t="s">
        <v>428</v>
      </c>
      <c r="N177" s="15" t="s">
        <v>429</v>
      </c>
    </row>
    <row r="178" spans="1:14" ht="14.4" hidden="1" x14ac:dyDescent="0.3">
      <c r="A178" s="42"/>
      <c r="B178" s="39"/>
      <c r="C178" s="39"/>
      <c r="D178" s="39"/>
      <c r="E178" s="43"/>
      <c r="F178" s="39"/>
      <c r="G178" s="39"/>
      <c r="H178" s="40"/>
      <c r="I178" s="41"/>
      <c r="J178" s="41">
        <f t="shared" si="2"/>
        <v>182</v>
      </c>
      <c r="K178" s="37">
        <v>45712</v>
      </c>
      <c r="L178" s="38" t="s">
        <v>1277</v>
      </c>
      <c r="M178" s="28" t="s">
        <v>430</v>
      </c>
      <c r="N178" s="15" t="s">
        <v>431</v>
      </c>
    </row>
    <row r="179" spans="1:14" ht="14.4" hidden="1" x14ac:dyDescent="0.3">
      <c r="A179" s="42" t="s">
        <v>432</v>
      </c>
      <c r="B179" s="39" t="s">
        <v>52</v>
      </c>
      <c r="C179" s="39" t="s">
        <v>433</v>
      </c>
      <c r="D179" s="39" t="s">
        <v>54</v>
      </c>
      <c r="E179" s="43">
        <v>4</v>
      </c>
      <c r="F179" s="39" t="s">
        <v>18</v>
      </c>
      <c r="G179" s="39" t="s">
        <v>19</v>
      </c>
      <c r="H179" s="40">
        <v>45706</v>
      </c>
      <c r="I179" s="41">
        <v>45727</v>
      </c>
      <c r="J179" s="41">
        <f t="shared" si="2"/>
        <v>45911</v>
      </c>
      <c r="K179" s="38" t="s">
        <v>34</v>
      </c>
      <c r="L179" s="38" t="s">
        <v>1245</v>
      </c>
      <c r="M179" s="14" t="s">
        <v>55</v>
      </c>
      <c r="N179" s="15" t="s">
        <v>36</v>
      </c>
    </row>
    <row r="180" spans="1:14" ht="14.4" hidden="1" x14ac:dyDescent="0.3">
      <c r="A180" s="42"/>
      <c r="B180" s="39"/>
      <c r="C180" s="39"/>
      <c r="D180" s="39"/>
      <c r="E180" s="43"/>
      <c r="F180" s="39"/>
      <c r="G180" s="39"/>
      <c r="H180" s="40"/>
      <c r="I180" s="41"/>
      <c r="J180" s="41">
        <f t="shared" si="2"/>
        <v>182</v>
      </c>
      <c r="K180" s="38" t="s">
        <v>34</v>
      </c>
      <c r="L180" s="38" t="s">
        <v>1245</v>
      </c>
      <c r="M180" s="14" t="s">
        <v>56</v>
      </c>
      <c r="N180" s="15" t="s">
        <v>36</v>
      </c>
    </row>
    <row r="181" spans="1:14" ht="14.4" hidden="1" x14ac:dyDescent="0.3">
      <c r="A181" s="42"/>
      <c r="B181" s="39"/>
      <c r="C181" s="39"/>
      <c r="D181" s="39"/>
      <c r="E181" s="43"/>
      <c r="F181" s="39"/>
      <c r="G181" s="39"/>
      <c r="H181" s="40"/>
      <c r="I181" s="41"/>
      <c r="J181" s="41">
        <f t="shared" si="2"/>
        <v>182</v>
      </c>
      <c r="K181" s="38" t="s">
        <v>34</v>
      </c>
      <c r="L181" s="38" t="s">
        <v>1245</v>
      </c>
      <c r="M181" s="14" t="s">
        <v>57</v>
      </c>
      <c r="N181" s="15" t="s">
        <v>36</v>
      </c>
    </row>
    <row r="182" spans="1:14" ht="14.4" hidden="1" x14ac:dyDescent="0.3">
      <c r="A182" s="42"/>
      <c r="B182" s="39"/>
      <c r="C182" s="39"/>
      <c r="D182" s="39"/>
      <c r="E182" s="43"/>
      <c r="F182" s="39"/>
      <c r="G182" s="39"/>
      <c r="H182" s="40"/>
      <c r="I182" s="41"/>
      <c r="J182" s="41">
        <f t="shared" si="2"/>
        <v>182</v>
      </c>
      <c r="K182" s="38" t="s">
        <v>34</v>
      </c>
      <c r="L182" s="38" t="s">
        <v>1245</v>
      </c>
      <c r="M182" s="14" t="s">
        <v>58</v>
      </c>
      <c r="N182" s="15" t="s">
        <v>36</v>
      </c>
    </row>
    <row r="183" spans="1:14" ht="14.4" hidden="1" x14ac:dyDescent="0.3">
      <c r="A183" s="42"/>
      <c r="B183" s="39"/>
      <c r="C183" s="39"/>
      <c r="D183" s="39"/>
      <c r="E183" s="43"/>
      <c r="F183" s="39"/>
      <c r="G183" s="39"/>
      <c r="H183" s="40"/>
      <c r="I183" s="41"/>
      <c r="J183" s="41">
        <f t="shared" si="2"/>
        <v>182</v>
      </c>
      <c r="K183" s="38" t="s">
        <v>34</v>
      </c>
      <c r="L183" s="38" t="s">
        <v>1245</v>
      </c>
      <c r="M183" s="14" t="s">
        <v>59</v>
      </c>
      <c r="N183" s="15" t="s">
        <v>36</v>
      </c>
    </row>
    <row r="184" spans="1:14" ht="14.4" hidden="1" x14ac:dyDescent="0.3">
      <c r="A184" s="42"/>
      <c r="B184" s="39"/>
      <c r="C184" s="39"/>
      <c r="D184" s="39"/>
      <c r="E184" s="43"/>
      <c r="F184" s="39"/>
      <c r="G184" s="39"/>
      <c r="H184" s="40"/>
      <c r="I184" s="41"/>
      <c r="J184" s="41">
        <f t="shared" si="2"/>
        <v>182</v>
      </c>
      <c r="K184" s="38" t="s">
        <v>34</v>
      </c>
      <c r="L184" s="38" t="s">
        <v>1245</v>
      </c>
      <c r="M184" s="14" t="s">
        <v>60</v>
      </c>
      <c r="N184" s="15" t="s">
        <v>36</v>
      </c>
    </row>
    <row r="185" spans="1:14" ht="14.4" hidden="1" x14ac:dyDescent="0.3">
      <c r="A185" s="42"/>
      <c r="B185" s="39"/>
      <c r="C185" s="39"/>
      <c r="D185" s="39"/>
      <c r="E185" s="43"/>
      <c r="F185" s="39"/>
      <c r="G185" s="39"/>
      <c r="H185" s="40"/>
      <c r="I185" s="41"/>
      <c r="J185" s="41">
        <f t="shared" si="2"/>
        <v>182</v>
      </c>
      <c r="K185" s="38" t="s">
        <v>34</v>
      </c>
      <c r="L185" s="38" t="s">
        <v>1245</v>
      </c>
      <c r="M185" s="14" t="s">
        <v>61</v>
      </c>
      <c r="N185" s="15" t="s">
        <v>36</v>
      </c>
    </row>
    <row r="186" spans="1:14" ht="14.4" hidden="1" x14ac:dyDescent="0.3">
      <c r="A186" s="42"/>
      <c r="B186" s="39"/>
      <c r="C186" s="39"/>
      <c r="D186" s="39"/>
      <c r="E186" s="43"/>
      <c r="F186" s="39"/>
      <c r="G186" s="39"/>
      <c r="H186" s="40"/>
      <c r="I186" s="41"/>
      <c r="J186" s="41">
        <f t="shared" si="2"/>
        <v>182</v>
      </c>
      <c r="K186" s="38" t="s">
        <v>1245</v>
      </c>
      <c r="L186" s="38" t="s">
        <v>1246</v>
      </c>
      <c r="M186" s="14" t="s">
        <v>62</v>
      </c>
      <c r="N186" s="15" t="s">
        <v>434</v>
      </c>
    </row>
    <row r="187" spans="1:14" ht="14.4" x14ac:dyDescent="0.3">
      <c r="A187" s="42" t="s">
        <v>435</v>
      </c>
      <c r="B187" s="39" t="s">
        <v>436</v>
      </c>
      <c r="C187" s="39" t="s">
        <v>437</v>
      </c>
      <c r="D187" s="39" t="s">
        <v>438</v>
      </c>
      <c r="E187" s="43">
        <v>10</v>
      </c>
      <c r="F187" s="39" t="s">
        <v>18</v>
      </c>
      <c r="G187" s="39" t="s">
        <v>19</v>
      </c>
      <c r="H187" s="40">
        <v>45706</v>
      </c>
      <c r="I187" s="41">
        <v>45727</v>
      </c>
      <c r="J187" s="41">
        <f t="shared" si="2"/>
        <v>45911</v>
      </c>
      <c r="K187" s="37">
        <v>45804</v>
      </c>
      <c r="L187" s="38" t="s">
        <v>1278</v>
      </c>
      <c r="M187" s="14" t="s">
        <v>439</v>
      </c>
      <c r="N187" s="15" t="s">
        <v>21</v>
      </c>
    </row>
    <row r="188" spans="1:14" ht="14.4" hidden="1" x14ac:dyDescent="0.3">
      <c r="A188" s="42"/>
      <c r="B188" s="39"/>
      <c r="C188" s="39"/>
      <c r="D188" s="39"/>
      <c r="E188" s="43"/>
      <c r="F188" s="39"/>
      <c r="G188" s="39"/>
      <c r="H188" s="40"/>
      <c r="I188" s="41"/>
      <c r="J188" s="41">
        <f t="shared" si="2"/>
        <v>182</v>
      </c>
      <c r="K188" s="38" t="s">
        <v>43</v>
      </c>
      <c r="L188" s="38" t="s">
        <v>1260</v>
      </c>
      <c r="M188" s="28" t="s">
        <v>440</v>
      </c>
      <c r="N188" s="15" t="s">
        <v>73</v>
      </c>
    </row>
    <row r="189" spans="1:14" ht="14.4" hidden="1" x14ac:dyDescent="0.3">
      <c r="A189" s="17" t="s">
        <v>441</v>
      </c>
      <c r="B189" s="18" t="s">
        <v>442</v>
      </c>
      <c r="C189" s="19" t="s">
        <v>443</v>
      </c>
      <c r="D189" s="20" t="s">
        <v>444</v>
      </c>
      <c r="E189" s="21">
        <v>3</v>
      </c>
      <c r="F189" s="12" t="s">
        <v>18</v>
      </c>
      <c r="G189" s="12" t="s">
        <v>19</v>
      </c>
      <c r="H189" s="13">
        <v>45708</v>
      </c>
      <c r="I189" s="22">
        <v>45729</v>
      </c>
      <c r="J189" s="22">
        <f t="shared" si="2"/>
        <v>45913</v>
      </c>
      <c r="K189" s="38" t="s">
        <v>34</v>
      </c>
      <c r="L189" s="38" t="s">
        <v>1258</v>
      </c>
      <c r="M189" s="14" t="s">
        <v>445</v>
      </c>
      <c r="N189" s="15" t="s">
        <v>36</v>
      </c>
    </row>
    <row r="190" spans="1:14" ht="14.4" hidden="1" x14ac:dyDescent="0.3">
      <c r="A190" s="9" t="s">
        <v>446</v>
      </c>
      <c r="B190" s="25" t="s">
        <v>447</v>
      </c>
      <c r="C190" s="26" t="s">
        <v>448</v>
      </c>
      <c r="D190" s="10" t="s">
        <v>449</v>
      </c>
      <c r="E190" s="11">
        <v>5</v>
      </c>
      <c r="F190" s="12" t="s">
        <v>18</v>
      </c>
      <c r="G190" s="12" t="s">
        <v>19</v>
      </c>
      <c r="H190" s="13">
        <v>45709</v>
      </c>
      <c r="I190" s="22">
        <v>45730</v>
      </c>
      <c r="J190" s="22">
        <f t="shared" si="2"/>
        <v>45914</v>
      </c>
      <c r="K190" s="38" t="s">
        <v>43</v>
      </c>
      <c r="L190" s="38" t="s">
        <v>1248</v>
      </c>
      <c r="M190" s="14" t="s">
        <v>450</v>
      </c>
      <c r="N190" s="15" t="s">
        <v>43</v>
      </c>
    </row>
    <row r="191" spans="1:14" ht="14.4" hidden="1" x14ac:dyDescent="0.3">
      <c r="A191" s="42" t="s">
        <v>451</v>
      </c>
      <c r="B191" s="39" t="s">
        <v>452</v>
      </c>
      <c r="C191" s="39" t="s">
        <v>453</v>
      </c>
      <c r="D191" s="39" t="s">
        <v>454</v>
      </c>
      <c r="E191" s="43">
        <v>6</v>
      </c>
      <c r="F191" s="39" t="s">
        <v>18</v>
      </c>
      <c r="G191" s="39" t="s">
        <v>19</v>
      </c>
      <c r="H191" s="40">
        <v>45709</v>
      </c>
      <c r="I191" s="41">
        <v>45730</v>
      </c>
      <c r="J191" s="41">
        <f t="shared" si="2"/>
        <v>45914</v>
      </c>
      <c r="K191" s="38" t="s">
        <v>34</v>
      </c>
      <c r="L191" s="38" t="s">
        <v>1250</v>
      </c>
      <c r="M191" s="14" t="s">
        <v>455</v>
      </c>
      <c r="N191" s="15" t="s">
        <v>36</v>
      </c>
    </row>
    <row r="192" spans="1:14" ht="14.4" hidden="1" x14ac:dyDescent="0.3">
      <c r="A192" s="42"/>
      <c r="B192" s="39"/>
      <c r="C192" s="39"/>
      <c r="D192" s="39"/>
      <c r="E192" s="43"/>
      <c r="F192" s="39"/>
      <c r="G192" s="39"/>
      <c r="H192" s="40"/>
      <c r="I192" s="41"/>
      <c r="J192" s="41">
        <f t="shared" si="2"/>
        <v>182</v>
      </c>
      <c r="K192" s="38" t="s">
        <v>34</v>
      </c>
      <c r="L192" s="38" t="s">
        <v>1250</v>
      </c>
      <c r="M192" s="14" t="s">
        <v>456</v>
      </c>
      <c r="N192" s="15" t="s">
        <v>36</v>
      </c>
    </row>
    <row r="193" spans="1:14" ht="14.4" hidden="1" x14ac:dyDescent="0.3">
      <c r="A193" s="42" t="s">
        <v>457</v>
      </c>
      <c r="B193" s="39" t="s">
        <v>458</v>
      </c>
      <c r="C193" s="39" t="s">
        <v>453</v>
      </c>
      <c r="D193" s="39" t="s">
        <v>454</v>
      </c>
      <c r="E193" s="43">
        <v>6</v>
      </c>
      <c r="F193" s="39" t="s">
        <v>18</v>
      </c>
      <c r="G193" s="39" t="s">
        <v>19</v>
      </c>
      <c r="H193" s="40">
        <v>45709</v>
      </c>
      <c r="I193" s="41">
        <v>45730</v>
      </c>
      <c r="J193" s="41">
        <f t="shared" si="2"/>
        <v>45914</v>
      </c>
      <c r="K193" s="38" t="s">
        <v>34</v>
      </c>
      <c r="L193" s="38" t="s">
        <v>1250</v>
      </c>
      <c r="M193" s="14" t="s">
        <v>455</v>
      </c>
      <c r="N193" s="15" t="s">
        <v>36</v>
      </c>
    </row>
    <row r="194" spans="1:14" ht="14.4" hidden="1" x14ac:dyDescent="0.3">
      <c r="A194" s="42"/>
      <c r="B194" s="39"/>
      <c r="C194" s="39"/>
      <c r="D194" s="39"/>
      <c r="E194" s="43"/>
      <c r="F194" s="39"/>
      <c r="G194" s="39"/>
      <c r="H194" s="40"/>
      <c r="I194" s="41"/>
      <c r="J194" s="41">
        <f t="shared" si="2"/>
        <v>182</v>
      </c>
      <c r="K194" s="38" t="s">
        <v>34</v>
      </c>
      <c r="L194" s="38" t="s">
        <v>1250</v>
      </c>
      <c r="M194" s="14" t="s">
        <v>456</v>
      </c>
      <c r="N194" s="15" t="s">
        <v>36</v>
      </c>
    </row>
    <row r="195" spans="1:14" ht="14.4" x14ac:dyDescent="0.3">
      <c r="A195" s="9" t="s">
        <v>459</v>
      </c>
      <c r="B195" s="25" t="s">
        <v>460</v>
      </c>
      <c r="C195" s="26" t="s">
        <v>461</v>
      </c>
      <c r="D195" s="10" t="s">
        <v>341</v>
      </c>
      <c r="E195" s="11" t="e">
        <f>VLOOKUP(D195,$H$5:I194,2,)</f>
        <v>#N/A</v>
      </c>
      <c r="F195" s="12" t="s">
        <v>18</v>
      </c>
      <c r="G195" s="12" t="s">
        <v>19</v>
      </c>
      <c r="H195" s="13">
        <v>45709</v>
      </c>
      <c r="I195" s="22">
        <v>45730</v>
      </c>
      <c r="J195" s="22">
        <f t="shared" si="2"/>
        <v>45914</v>
      </c>
      <c r="K195" s="37">
        <v>45853</v>
      </c>
      <c r="L195" s="38" t="s">
        <v>1279</v>
      </c>
      <c r="M195" s="14" t="s">
        <v>462</v>
      </c>
      <c r="N195" s="15" t="s">
        <v>21</v>
      </c>
    </row>
    <row r="196" spans="1:14" ht="14.4" x14ac:dyDescent="0.3">
      <c r="A196" s="42" t="s">
        <v>463</v>
      </c>
      <c r="B196" s="39" t="s">
        <v>464</v>
      </c>
      <c r="C196" s="39" t="s">
        <v>465</v>
      </c>
      <c r="D196" s="39" t="s">
        <v>466</v>
      </c>
      <c r="E196" s="43">
        <v>10</v>
      </c>
      <c r="F196" s="39" t="s">
        <v>18</v>
      </c>
      <c r="G196" s="39" t="s">
        <v>19</v>
      </c>
      <c r="H196" s="41">
        <v>45712</v>
      </c>
      <c r="I196" s="41">
        <v>45733</v>
      </c>
      <c r="J196" s="41">
        <f t="shared" si="2"/>
        <v>45917</v>
      </c>
      <c r="K196" s="37">
        <v>45796</v>
      </c>
      <c r="L196" s="38" t="s">
        <v>1280</v>
      </c>
      <c r="M196" s="14" t="s">
        <v>467</v>
      </c>
      <c r="N196" s="15" t="s">
        <v>21</v>
      </c>
    </row>
    <row r="197" spans="1:14" ht="14.4" x14ac:dyDescent="0.3">
      <c r="A197" s="42"/>
      <c r="B197" s="39"/>
      <c r="C197" s="39"/>
      <c r="D197" s="39"/>
      <c r="E197" s="43"/>
      <c r="F197" s="39"/>
      <c r="G197" s="39"/>
      <c r="H197" s="41"/>
      <c r="I197" s="41"/>
      <c r="J197" s="41">
        <f t="shared" si="2"/>
        <v>182</v>
      </c>
      <c r="K197" s="37">
        <v>45796</v>
      </c>
      <c r="L197" s="38" t="s">
        <v>1280</v>
      </c>
      <c r="M197" s="14" t="s">
        <v>468</v>
      </c>
      <c r="N197" s="15" t="s">
        <v>21</v>
      </c>
    </row>
    <row r="198" spans="1:14" ht="14.4" x14ac:dyDescent="0.3">
      <c r="A198" s="42"/>
      <c r="B198" s="39"/>
      <c r="C198" s="39"/>
      <c r="D198" s="39"/>
      <c r="E198" s="43"/>
      <c r="F198" s="39"/>
      <c r="G198" s="39"/>
      <c r="H198" s="41"/>
      <c r="I198" s="41"/>
      <c r="J198" s="41">
        <f t="shared" si="2"/>
        <v>182</v>
      </c>
      <c r="K198" s="37">
        <v>45796</v>
      </c>
      <c r="L198" s="38" t="s">
        <v>1280</v>
      </c>
      <c r="M198" s="14" t="s">
        <v>469</v>
      </c>
      <c r="N198" s="15" t="s">
        <v>21</v>
      </c>
    </row>
    <row r="199" spans="1:14" ht="14.4" x14ac:dyDescent="0.3">
      <c r="A199" s="42"/>
      <c r="B199" s="39"/>
      <c r="C199" s="39"/>
      <c r="D199" s="39"/>
      <c r="E199" s="43"/>
      <c r="F199" s="39"/>
      <c r="G199" s="39"/>
      <c r="H199" s="41"/>
      <c r="I199" s="41"/>
      <c r="J199" s="41">
        <f t="shared" si="2"/>
        <v>182</v>
      </c>
      <c r="K199" s="37">
        <v>45796</v>
      </c>
      <c r="L199" s="38" t="s">
        <v>1280</v>
      </c>
      <c r="M199" s="14" t="s">
        <v>470</v>
      </c>
      <c r="N199" s="15" t="s">
        <v>21</v>
      </c>
    </row>
    <row r="200" spans="1:14" ht="14.4" x14ac:dyDescent="0.3">
      <c r="A200" s="42"/>
      <c r="B200" s="39"/>
      <c r="C200" s="39"/>
      <c r="D200" s="39"/>
      <c r="E200" s="43"/>
      <c r="F200" s="39"/>
      <c r="G200" s="39"/>
      <c r="H200" s="41"/>
      <c r="I200" s="41"/>
      <c r="J200" s="41">
        <f t="shared" ref="J200:J263" si="3">EDATE(I200,6)</f>
        <v>182</v>
      </c>
      <c r="K200" s="37">
        <v>45804</v>
      </c>
      <c r="L200" s="38" t="s">
        <v>1281</v>
      </c>
      <c r="M200" s="14" t="s">
        <v>471</v>
      </c>
      <c r="N200" s="15" t="s">
        <v>21</v>
      </c>
    </row>
    <row r="201" spans="1:14" ht="14.4" x14ac:dyDescent="0.3">
      <c r="A201" s="42"/>
      <c r="B201" s="39"/>
      <c r="C201" s="39"/>
      <c r="D201" s="39"/>
      <c r="E201" s="43"/>
      <c r="F201" s="39"/>
      <c r="G201" s="39"/>
      <c r="H201" s="41"/>
      <c r="I201" s="41"/>
      <c r="J201" s="41">
        <f t="shared" si="3"/>
        <v>182</v>
      </c>
      <c r="K201" s="37">
        <v>45804</v>
      </c>
      <c r="L201" s="38" t="s">
        <v>1281</v>
      </c>
      <c r="M201" s="14" t="s">
        <v>472</v>
      </c>
      <c r="N201" s="15" t="s">
        <v>21</v>
      </c>
    </row>
    <row r="202" spans="1:14" ht="14.4" x14ac:dyDescent="0.3">
      <c r="A202" s="42" t="s">
        <v>473</v>
      </c>
      <c r="B202" s="39" t="s">
        <v>65</v>
      </c>
      <c r="C202" s="39" t="s">
        <v>474</v>
      </c>
      <c r="D202" s="39" t="s">
        <v>67</v>
      </c>
      <c r="E202" s="43">
        <v>5</v>
      </c>
      <c r="F202" s="39" t="s">
        <v>18</v>
      </c>
      <c r="G202" s="39" t="s">
        <v>19</v>
      </c>
      <c r="H202" s="40">
        <v>45712</v>
      </c>
      <c r="I202" s="41">
        <v>45733</v>
      </c>
      <c r="J202" s="41">
        <f t="shared" si="3"/>
        <v>45917</v>
      </c>
      <c r="K202" s="37">
        <v>45796</v>
      </c>
      <c r="L202" s="38" t="s">
        <v>1247</v>
      </c>
      <c r="M202" s="14" t="s">
        <v>68</v>
      </c>
      <c r="N202" s="15" t="s">
        <v>21</v>
      </c>
    </row>
    <row r="203" spans="1:14" ht="14.4" x14ac:dyDescent="0.3">
      <c r="A203" s="42"/>
      <c r="B203" s="39"/>
      <c r="C203" s="39"/>
      <c r="D203" s="39"/>
      <c r="E203" s="43"/>
      <c r="F203" s="39"/>
      <c r="G203" s="39"/>
      <c r="H203" s="40"/>
      <c r="I203" s="41"/>
      <c r="J203" s="41">
        <f t="shared" si="3"/>
        <v>182</v>
      </c>
      <c r="K203" s="37">
        <v>45796</v>
      </c>
      <c r="L203" s="38" t="s">
        <v>1247</v>
      </c>
      <c r="M203" s="14" t="s">
        <v>69</v>
      </c>
      <c r="N203" s="15" t="s">
        <v>21</v>
      </c>
    </row>
    <row r="204" spans="1:14" ht="14.4" x14ac:dyDescent="0.3">
      <c r="A204" s="42"/>
      <c r="B204" s="39"/>
      <c r="C204" s="39"/>
      <c r="D204" s="39"/>
      <c r="E204" s="43"/>
      <c r="F204" s="39"/>
      <c r="G204" s="39"/>
      <c r="H204" s="40"/>
      <c r="I204" s="41"/>
      <c r="J204" s="41">
        <f t="shared" si="3"/>
        <v>182</v>
      </c>
      <c r="K204" s="37">
        <v>45796</v>
      </c>
      <c r="L204" s="38" t="s">
        <v>1247</v>
      </c>
      <c r="M204" s="14" t="s">
        <v>70</v>
      </c>
      <c r="N204" s="15" t="s">
        <v>21</v>
      </c>
    </row>
    <row r="205" spans="1:14" ht="14.4" x14ac:dyDescent="0.3">
      <c r="A205" s="42"/>
      <c r="B205" s="39"/>
      <c r="C205" s="39"/>
      <c r="D205" s="39"/>
      <c r="E205" s="43"/>
      <c r="F205" s="39"/>
      <c r="G205" s="39"/>
      <c r="H205" s="40"/>
      <c r="I205" s="41"/>
      <c r="J205" s="41">
        <f t="shared" si="3"/>
        <v>182</v>
      </c>
      <c r="K205" s="37">
        <v>45796</v>
      </c>
      <c r="L205" s="38" t="s">
        <v>1247</v>
      </c>
      <c r="M205" s="14" t="s">
        <v>71</v>
      </c>
      <c r="N205" s="15" t="s">
        <v>21</v>
      </c>
    </row>
    <row r="206" spans="1:14" ht="14.4" hidden="1" x14ac:dyDescent="0.3">
      <c r="A206" s="42"/>
      <c r="B206" s="39"/>
      <c r="C206" s="39"/>
      <c r="D206" s="39"/>
      <c r="E206" s="43"/>
      <c r="F206" s="39"/>
      <c r="G206" s="39"/>
      <c r="H206" s="40"/>
      <c r="I206" s="41"/>
      <c r="J206" s="41">
        <f t="shared" si="3"/>
        <v>182</v>
      </c>
      <c r="K206" s="38" t="s">
        <v>43</v>
      </c>
      <c r="L206" s="38" t="s">
        <v>1260</v>
      </c>
      <c r="M206" s="28" t="s">
        <v>72</v>
      </c>
      <c r="N206" s="15" t="s">
        <v>270</v>
      </c>
    </row>
    <row r="207" spans="1:14" ht="14.4" x14ac:dyDescent="0.3">
      <c r="A207" s="42"/>
      <c r="B207" s="39"/>
      <c r="C207" s="39"/>
      <c r="D207" s="39"/>
      <c r="E207" s="43"/>
      <c r="F207" s="39"/>
      <c r="G207" s="39"/>
      <c r="H207" s="40"/>
      <c r="I207" s="41"/>
      <c r="J207" s="41">
        <f t="shared" si="3"/>
        <v>182</v>
      </c>
      <c r="K207" s="37">
        <v>45796</v>
      </c>
      <c r="L207" s="38" t="s">
        <v>1247</v>
      </c>
      <c r="M207" s="14" t="s">
        <v>74</v>
      </c>
      <c r="N207" s="15" t="s">
        <v>21</v>
      </c>
    </row>
    <row r="208" spans="1:14" ht="14.4" hidden="1" x14ac:dyDescent="0.3">
      <c r="A208" s="42"/>
      <c r="B208" s="39"/>
      <c r="C208" s="39"/>
      <c r="D208" s="39"/>
      <c r="E208" s="43"/>
      <c r="F208" s="39"/>
      <c r="G208" s="39"/>
      <c r="H208" s="40"/>
      <c r="I208" s="41"/>
      <c r="J208" s="41">
        <f t="shared" si="3"/>
        <v>182</v>
      </c>
      <c r="K208" s="38" t="s">
        <v>43</v>
      </c>
      <c r="L208" s="38" t="s">
        <v>1260</v>
      </c>
      <c r="M208" s="28" t="s">
        <v>475</v>
      </c>
      <c r="N208" s="15" t="s">
        <v>73</v>
      </c>
    </row>
    <row r="209" spans="1:19" ht="14.4" x14ac:dyDescent="0.3">
      <c r="A209" s="42"/>
      <c r="B209" s="39"/>
      <c r="C209" s="39"/>
      <c r="D209" s="39"/>
      <c r="E209" s="43"/>
      <c r="F209" s="39"/>
      <c r="G209" s="39"/>
      <c r="H209" s="40"/>
      <c r="I209" s="41"/>
      <c r="J209" s="41">
        <f t="shared" si="3"/>
        <v>182</v>
      </c>
      <c r="K209" s="37">
        <v>45796</v>
      </c>
      <c r="L209" s="38" t="s">
        <v>1247</v>
      </c>
      <c r="M209" s="14" t="s">
        <v>77</v>
      </c>
      <c r="N209" s="15" t="s">
        <v>21</v>
      </c>
    </row>
    <row r="210" spans="1:19" ht="14.4" x14ac:dyDescent="0.3">
      <c r="A210" s="42"/>
      <c r="B210" s="39"/>
      <c r="C210" s="39"/>
      <c r="D210" s="39"/>
      <c r="E210" s="43"/>
      <c r="F210" s="39"/>
      <c r="G210" s="39"/>
      <c r="H210" s="40"/>
      <c r="I210" s="41"/>
      <c r="J210" s="41">
        <f t="shared" si="3"/>
        <v>182</v>
      </c>
      <c r="K210" s="37">
        <v>45796</v>
      </c>
      <c r="L210" s="38" t="s">
        <v>1247</v>
      </c>
      <c r="M210" s="14" t="s">
        <v>76</v>
      </c>
      <c r="N210" s="15" t="s">
        <v>21</v>
      </c>
    </row>
    <row r="211" spans="1:19" ht="14.4" x14ac:dyDescent="0.3">
      <c r="A211" s="42"/>
      <c r="B211" s="39"/>
      <c r="C211" s="39"/>
      <c r="D211" s="39"/>
      <c r="E211" s="43"/>
      <c r="F211" s="39"/>
      <c r="G211" s="39"/>
      <c r="H211" s="40"/>
      <c r="I211" s="41"/>
      <c r="J211" s="41">
        <f t="shared" si="3"/>
        <v>182</v>
      </c>
      <c r="K211" s="37">
        <v>45796</v>
      </c>
      <c r="L211" s="38" t="s">
        <v>1247</v>
      </c>
      <c r="M211" s="14" t="s">
        <v>78</v>
      </c>
      <c r="N211" s="15" t="s">
        <v>21</v>
      </c>
      <c r="P211" s="29">
        <v>45238</v>
      </c>
      <c r="Q211" s="29">
        <v>45786</v>
      </c>
      <c r="R211" s="8">
        <f>DATEDIF(P211,Q211,"Y")</f>
        <v>1</v>
      </c>
      <c r="S211" s="8">
        <f>DATEDIF(P211,Q211,"m")</f>
        <v>18</v>
      </c>
    </row>
    <row r="212" spans="1:19" ht="14.4" x14ac:dyDescent="0.3">
      <c r="A212" s="42"/>
      <c r="B212" s="39"/>
      <c r="C212" s="39"/>
      <c r="D212" s="39"/>
      <c r="E212" s="43"/>
      <c r="F212" s="39"/>
      <c r="G212" s="39"/>
      <c r="H212" s="40"/>
      <c r="I212" s="41"/>
      <c r="J212" s="41">
        <f t="shared" si="3"/>
        <v>182</v>
      </c>
      <c r="K212" s="37">
        <v>45796</v>
      </c>
      <c r="L212" s="38" t="s">
        <v>1247</v>
      </c>
      <c r="M212" s="14" t="s">
        <v>79</v>
      </c>
      <c r="N212" s="15" t="s">
        <v>21</v>
      </c>
    </row>
    <row r="213" spans="1:19" ht="14.4" hidden="1" x14ac:dyDescent="0.3">
      <c r="A213" s="42"/>
      <c r="B213" s="39"/>
      <c r="C213" s="39"/>
      <c r="D213" s="39"/>
      <c r="E213" s="43"/>
      <c r="F213" s="39"/>
      <c r="G213" s="39"/>
      <c r="H213" s="40"/>
      <c r="I213" s="41"/>
      <c r="J213" s="41">
        <f t="shared" si="3"/>
        <v>182</v>
      </c>
      <c r="K213" s="38" t="s">
        <v>43</v>
      </c>
      <c r="L213" s="38" t="s">
        <v>1248</v>
      </c>
      <c r="M213" s="14" t="s">
        <v>80</v>
      </c>
      <c r="N213" s="15" t="s">
        <v>43</v>
      </c>
    </row>
    <row r="214" spans="1:19" ht="14.4" x14ac:dyDescent="0.3">
      <c r="A214" s="42"/>
      <c r="B214" s="39"/>
      <c r="C214" s="39"/>
      <c r="D214" s="39"/>
      <c r="E214" s="43"/>
      <c r="F214" s="39"/>
      <c r="G214" s="39"/>
      <c r="H214" s="40"/>
      <c r="I214" s="41"/>
      <c r="J214" s="41">
        <f t="shared" si="3"/>
        <v>182</v>
      </c>
      <c r="K214" s="37">
        <v>45827</v>
      </c>
      <c r="L214" s="38" t="s">
        <v>1249</v>
      </c>
      <c r="M214" s="14" t="s">
        <v>81</v>
      </c>
      <c r="N214" s="15" t="s">
        <v>21</v>
      </c>
    </row>
    <row r="215" spans="1:19" ht="14.4" x14ac:dyDescent="0.3">
      <c r="A215" s="17" t="s">
        <v>476</v>
      </c>
      <c r="B215" s="18" t="s">
        <v>477</v>
      </c>
      <c r="C215" s="19" t="s">
        <v>478</v>
      </c>
      <c r="D215" s="20" t="s">
        <v>91</v>
      </c>
      <c r="E215" s="21">
        <v>7</v>
      </c>
      <c r="F215" s="12" t="s">
        <v>18</v>
      </c>
      <c r="G215" s="12" t="s">
        <v>19</v>
      </c>
      <c r="H215" s="13">
        <v>45713</v>
      </c>
      <c r="I215" s="22">
        <v>45734</v>
      </c>
      <c r="J215" s="22">
        <f t="shared" si="3"/>
        <v>45918</v>
      </c>
      <c r="K215" s="37">
        <v>45820</v>
      </c>
      <c r="L215" s="38" t="s">
        <v>1282</v>
      </c>
      <c r="M215" s="14" t="s">
        <v>479</v>
      </c>
      <c r="N215" s="15" t="s">
        <v>21</v>
      </c>
    </row>
    <row r="216" spans="1:19" ht="14.4" x14ac:dyDescent="0.3">
      <c r="A216" s="9" t="s">
        <v>480</v>
      </c>
      <c r="B216" s="25" t="s">
        <v>481</v>
      </c>
      <c r="C216" s="26" t="s">
        <v>482</v>
      </c>
      <c r="D216" s="10" t="s">
        <v>483</v>
      </c>
      <c r="E216" s="11">
        <v>1</v>
      </c>
      <c r="F216" s="12" t="s">
        <v>18</v>
      </c>
      <c r="G216" s="12" t="s">
        <v>19</v>
      </c>
      <c r="H216" s="13">
        <v>45713</v>
      </c>
      <c r="I216" s="22">
        <v>45734</v>
      </c>
      <c r="J216" s="22">
        <f t="shared" si="3"/>
        <v>45918</v>
      </c>
      <c r="K216" s="37">
        <v>45849</v>
      </c>
      <c r="L216" s="38" t="s">
        <v>1283</v>
      </c>
      <c r="M216" s="14" t="s">
        <v>484</v>
      </c>
      <c r="N216" s="15" t="s">
        <v>21</v>
      </c>
    </row>
    <row r="217" spans="1:19" ht="14.4" x14ac:dyDescent="0.3">
      <c r="A217" s="42" t="s">
        <v>485</v>
      </c>
      <c r="B217" s="39" t="s">
        <v>486</v>
      </c>
      <c r="C217" s="39" t="s">
        <v>487</v>
      </c>
      <c r="D217" s="39" t="s">
        <v>488</v>
      </c>
      <c r="E217" s="43">
        <v>2</v>
      </c>
      <c r="F217" s="39" t="s">
        <v>18</v>
      </c>
      <c r="G217" s="39" t="s">
        <v>19</v>
      </c>
      <c r="H217" s="40">
        <v>45715</v>
      </c>
      <c r="I217" s="41">
        <v>45736</v>
      </c>
      <c r="J217" s="41">
        <f t="shared" si="3"/>
        <v>45920</v>
      </c>
      <c r="K217" s="37">
        <v>45730</v>
      </c>
      <c r="L217" s="38" t="s">
        <v>1284</v>
      </c>
      <c r="M217" s="14" t="s">
        <v>489</v>
      </c>
      <c r="N217" s="15" t="s">
        <v>21</v>
      </c>
    </row>
    <row r="218" spans="1:19" ht="14.4" x14ac:dyDescent="0.3">
      <c r="A218" s="42"/>
      <c r="B218" s="39"/>
      <c r="C218" s="39"/>
      <c r="D218" s="39"/>
      <c r="E218" s="43"/>
      <c r="F218" s="39"/>
      <c r="G218" s="39"/>
      <c r="H218" s="40"/>
      <c r="I218" s="41"/>
      <c r="J218" s="41">
        <f t="shared" si="3"/>
        <v>182</v>
      </c>
      <c r="K218" s="37">
        <v>45730</v>
      </c>
      <c r="L218" s="38" t="s">
        <v>1284</v>
      </c>
      <c r="M218" s="14" t="s">
        <v>490</v>
      </c>
      <c r="N218" s="15" t="s">
        <v>21</v>
      </c>
    </row>
    <row r="219" spans="1:19" ht="14.4" x14ac:dyDescent="0.3">
      <c r="A219" s="42"/>
      <c r="B219" s="39"/>
      <c r="C219" s="39"/>
      <c r="D219" s="39"/>
      <c r="E219" s="43"/>
      <c r="F219" s="39"/>
      <c r="G219" s="39"/>
      <c r="H219" s="40"/>
      <c r="I219" s="41"/>
      <c r="J219" s="41">
        <f t="shared" si="3"/>
        <v>182</v>
      </c>
      <c r="K219" s="37">
        <v>45729</v>
      </c>
      <c r="L219" s="38" t="s">
        <v>1285</v>
      </c>
      <c r="M219" s="14" t="s">
        <v>491</v>
      </c>
      <c r="N219" s="15" t="s">
        <v>21</v>
      </c>
    </row>
    <row r="220" spans="1:19" ht="14.4" hidden="1" x14ac:dyDescent="0.3">
      <c r="A220" s="17" t="s">
        <v>492</v>
      </c>
      <c r="B220" s="18" t="s">
        <v>493</v>
      </c>
      <c r="C220" s="19" t="s">
        <v>494</v>
      </c>
      <c r="D220" s="20" t="s">
        <v>495</v>
      </c>
      <c r="E220" s="21">
        <v>6</v>
      </c>
      <c r="F220" s="12" t="s">
        <v>18</v>
      </c>
      <c r="G220" s="12" t="s">
        <v>19</v>
      </c>
      <c r="H220" s="13">
        <v>45716</v>
      </c>
      <c r="I220" s="22">
        <v>45737</v>
      </c>
      <c r="J220" s="22">
        <f t="shared" si="3"/>
        <v>45921</v>
      </c>
      <c r="K220" s="38" t="s">
        <v>34</v>
      </c>
      <c r="L220" s="38" t="s">
        <v>1250</v>
      </c>
      <c r="M220" s="14" t="s">
        <v>496</v>
      </c>
      <c r="N220" s="15" t="s">
        <v>36</v>
      </c>
    </row>
    <row r="221" spans="1:19" ht="14.4" hidden="1" x14ac:dyDescent="0.3">
      <c r="A221" s="9" t="s">
        <v>497</v>
      </c>
      <c r="B221" s="25" t="s">
        <v>498</v>
      </c>
      <c r="C221" s="26" t="s">
        <v>499</v>
      </c>
      <c r="D221" s="10" t="s">
        <v>91</v>
      </c>
      <c r="E221" s="11">
        <v>7</v>
      </c>
      <c r="F221" s="12" t="s">
        <v>18</v>
      </c>
      <c r="G221" s="12" t="s">
        <v>19</v>
      </c>
      <c r="H221" s="13">
        <v>45716</v>
      </c>
      <c r="I221" s="22">
        <v>45737</v>
      </c>
      <c r="J221" s="22">
        <f t="shared" si="3"/>
        <v>45921</v>
      </c>
      <c r="K221" s="38" t="s">
        <v>34</v>
      </c>
      <c r="L221" s="38" t="s">
        <v>1251</v>
      </c>
      <c r="M221" s="14" t="s">
        <v>500</v>
      </c>
      <c r="N221" s="15" t="s">
        <v>36</v>
      </c>
    </row>
    <row r="222" spans="1:19" ht="14.4" x14ac:dyDescent="0.3">
      <c r="A222" s="42" t="s">
        <v>501</v>
      </c>
      <c r="B222" s="39" t="s">
        <v>502</v>
      </c>
      <c r="C222" s="39" t="s">
        <v>503</v>
      </c>
      <c r="D222" s="39" t="s">
        <v>504</v>
      </c>
      <c r="E222" s="43">
        <v>9</v>
      </c>
      <c r="F222" s="39" t="s">
        <v>18</v>
      </c>
      <c r="G222" s="39" t="s">
        <v>19</v>
      </c>
      <c r="H222" s="40">
        <v>45719</v>
      </c>
      <c r="I222" s="41">
        <v>45741</v>
      </c>
      <c r="J222" s="41">
        <f t="shared" si="3"/>
        <v>45925</v>
      </c>
      <c r="K222" s="37">
        <v>45842</v>
      </c>
      <c r="L222" s="38" t="s">
        <v>1286</v>
      </c>
      <c r="M222" s="14" t="s">
        <v>505</v>
      </c>
      <c r="N222" s="15" t="s">
        <v>21</v>
      </c>
    </row>
    <row r="223" spans="1:19" ht="14.4" x14ac:dyDescent="0.3">
      <c r="A223" s="42"/>
      <c r="B223" s="39"/>
      <c r="C223" s="39"/>
      <c r="D223" s="39"/>
      <c r="E223" s="43"/>
      <c r="F223" s="39"/>
      <c r="G223" s="39"/>
      <c r="H223" s="40"/>
      <c r="I223" s="41"/>
      <c r="J223" s="41">
        <f t="shared" si="3"/>
        <v>182</v>
      </c>
      <c r="K223" s="37">
        <v>45842</v>
      </c>
      <c r="L223" s="38" t="s">
        <v>1286</v>
      </c>
      <c r="M223" s="14" t="s">
        <v>506</v>
      </c>
      <c r="N223" s="15" t="s">
        <v>21</v>
      </c>
    </row>
    <row r="224" spans="1:19" ht="14.4" hidden="1" x14ac:dyDescent="0.3">
      <c r="A224" s="42"/>
      <c r="B224" s="39"/>
      <c r="C224" s="39"/>
      <c r="D224" s="39"/>
      <c r="E224" s="43"/>
      <c r="F224" s="39"/>
      <c r="G224" s="39"/>
      <c r="H224" s="40"/>
      <c r="I224" s="41"/>
      <c r="J224" s="41">
        <f t="shared" si="3"/>
        <v>182</v>
      </c>
      <c r="K224" s="38" t="s">
        <v>43</v>
      </c>
      <c r="L224" s="38" t="s">
        <v>1260</v>
      </c>
      <c r="M224" s="28" t="s">
        <v>507</v>
      </c>
      <c r="N224" s="15" t="s">
        <v>270</v>
      </c>
    </row>
    <row r="225" spans="1:14" ht="14.4" x14ac:dyDescent="0.3">
      <c r="A225" s="42"/>
      <c r="B225" s="39"/>
      <c r="C225" s="39"/>
      <c r="D225" s="39"/>
      <c r="E225" s="43"/>
      <c r="F225" s="39"/>
      <c r="G225" s="39"/>
      <c r="H225" s="40"/>
      <c r="I225" s="41"/>
      <c r="J225" s="41">
        <f t="shared" si="3"/>
        <v>182</v>
      </c>
      <c r="K225" s="37">
        <v>45842</v>
      </c>
      <c r="L225" s="38" t="s">
        <v>1286</v>
      </c>
      <c r="M225" s="14" t="s">
        <v>508</v>
      </c>
      <c r="N225" s="15" t="s">
        <v>21</v>
      </c>
    </row>
    <row r="226" spans="1:14" ht="14.4" hidden="1" x14ac:dyDescent="0.3">
      <c r="A226" s="9" t="s">
        <v>509</v>
      </c>
      <c r="B226" s="25" t="s">
        <v>510</v>
      </c>
      <c r="C226" s="26" t="s">
        <v>511</v>
      </c>
      <c r="D226" s="10" t="s">
        <v>449</v>
      </c>
      <c r="E226" s="11">
        <v>5</v>
      </c>
      <c r="F226" s="12" t="s">
        <v>18</v>
      </c>
      <c r="G226" s="12" t="s">
        <v>19</v>
      </c>
      <c r="H226" s="13">
        <v>45719</v>
      </c>
      <c r="I226" s="22">
        <v>45741</v>
      </c>
      <c r="J226" s="22">
        <f t="shared" si="3"/>
        <v>45925</v>
      </c>
      <c r="K226" s="37">
        <v>45824</v>
      </c>
      <c r="L226" s="38" t="s">
        <v>1287</v>
      </c>
      <c r="M226" s="24" t="s">
        <v>512</v>
      </c>
      <c r="N226" s="15" t="s">
        <v>513</v>
      </c>
    </row>
    <row r="227" spans="1:14" ht="14.4" hidden="1" x14ac:dyDescent="0.3">
      <c r="A227" s="42" t="s">
        <v>514</v>
      </c>
      <c r="B227" s="39" t="s">
        <v>515</v>
      </c>
      <c r="C227" s="39" t="s">
        <v>516</v>
      </c>
      <c r="D227" s="39" t="s">
        <v>517</v>
      </c>
      <c r="E227" s="43">
        <v>1</v>
      </c>
      <c r="F227" s="39" t="s">
        <v>18</v>
      </c>
      <c r="G227" s="39" t="s">
        <v>19</v>
      </c>
      <c r="H227" s="41">
        <v>45741</v>
      </c>
      <c r="I227" s="39" t="s">
        <v>518</v>
      </c>
      <c r="J227" s="22"/>
      <c r="K227" s="38" t="s">
        <v>34</v>
      </c>
      <c r="L227" s="38" t="s">
        <v>1258</v>
      </c>
      <c r="M227" s="14" t="s">
        <v>519</v>
      </c>
      <c r="N227" s="15" t="s">
        <v>36</v>
      </c>
    </row>
    <row r="228" spans="1:14" ht="14.4" hidden="1" x14ac:dyDescent="0.3">
      <c r="A228" s="42"/>
      <c r="B228" s="39"/>
      <c r="C228" s="39"/>
      <c r="D228" s="39"/>
      <c r="E228" s="43"/>
      <c r="F228" s="39"/>
      <c r="G228" s="39"/>
      <c r="H228" s="41"/>
      <c r="I228" s="39"/>
      <c r="J228" s="22"/>
      <c r="K228" s="38" t="s">
        <v>34</v>
      </c>
      <c r="L228" s="38" t="s">
        <v>1258</v>
      </c>
      <c r="M228" s="14" t="s">
        <v>520</v>
      </c>
      <c r="N228" s="15" t="s">
        <v>36</v>
      </c>
    </row>
    <row r="229" spans="1:14" ht="14.4" x14ac:dyDescent="0.3">
      <c r="A229" s="42" t="s">
        <v>521</v>
      </c>
      <c r="B229" s="39" t="s">
        <v>522</v>
      </c>
      <c r="C229" s="39" t="s">
        <v>523</v>
      </c>
      <c r="D229" s="39" t="s">
        <v>524</v>
      </c>
      <c r="E229" s="43">
        <v>10</v>
      </c>
      <c r="F229" s="39" t="s">
        <v>18</v>
      </c>
      <c r="G229" s="39" t="s">
        <v>19</v>
      </c>
      <c r="H229" s="40">
        <v>45721</v>
      </c>
      <c r="I229" s="41">
        <v>45743</v>
      </c>
      <c r="J229" s="41">
        <f t="shared" si="3"/>
        <v>45927</v>
      </c>
      <c r="K229" s="37">
        <v>45804</v>
      </c>
      <c r="L229" s="38" t="s">
        <v>1278</v>
      </c>
      <c r="M229" s="14" t="s">
        <v>525</v>
      </c>
      <c r="N229" s="15" t="s">
        <v>21</v>
      </c>
    </row>
    <row r="230" spans="1:14" ht="14.4" hidden="1" x14ac:dyDescent="0.3">
      <c r="A230" s="42"/>
      <c r="B230" s="39"/>
      <c r="C230" s="39"/>
      <c r="D230" s="39"/>
      <c r="E230" s="43"/>
      <c r="F230" s="39"/>
      <c r="G230" s="39"/>
      <c r="H230" s="40"/>
      <c r="I230" s="41"/>
      <c r="J230" s="41">
        <f t="shared" si="3"/>
        <v>182</v>
      </c>
      <c r="K230" s="38" t="s">
        <v>43</v>
      </c>
      <c r="L230" s="38" t="s">
        <v>1260</v>
      </c>
      <c r="M230" s="28" t="s">
        <v>526</v>
      </c>
      <c r="N230" s="15" t="s">
        <v>270</v>
      </c>
    </row>
    <row r="231" spans="1:14" ht="14.4" x14ac:dyDescent="0.3">
      <c r="A231" s="42"/>
      <c r="B231" s="39"/>
      <c r="C231" s="39"/>
      <c r="D231" s="39"/>
      <c r="E231" s="43"/>
      <c r="F231" s="39"/>
      <c r="G231" s="39"/>
      <c r="H231" s="40"/>
      <c r="I231" s="41"/>
      <c r="J231" s="41">
        <f t="shared" si="3"/>
        <v>182</v>
      </c>
      <c r="K231" s="37">
        <v>45803</v>
      </c>
      <c r="L231" s="38" t="s">
        <v>1288</v>
      </c>
      <c r="M231" s="14" t="s">
        <v>527</v>
      </c>
      <c r="N231" s="15" t="s">
        <v>21</v>
      </c>
    </row>
    <row r="232" spans="1:14" ht="14.4" x14ac:dyDescent="0.3">
      <c r="A232" s="42"/>
      <c r="B232" s="39"/>
      <c r="C232" s="39"/>
      <c r="D232" s="39"/>
      <c r="E232" s="43"/>
      <c r="F232" s="39"/>
      <c r="G232" s="39"/>
      <c r="H232" s="40"/>
      <c r="I232" s="41"/>
      <c r="J232" s="41">
        <f t="shared" si="3"/>
        <v>182</v>
      </c>
      <c r="K232" s="37">
        <v>45803</v>
      </c>
      <c r="L232" s="38" t="s">
        <v>1288</v>
      </c>
      <c r="M232" s="14" t="s">
        <v>528</v>
      </c>
      <c r="N232" s="15" t="s">
        <v>21</v>
      </c>
    </row>
    <row r="233" spans="1:14" ht="14.4" x14ac:dyDescent="0.3">
      <c r="A233" s="42"/>
      <c r="B233" s="39"/>
      <c r="C233" s="39"/>
      <c r="D233" s="39"/>
      <c r="E233" s="43"/>
      <c r="F233" s="39"/>
      <c r="G233" s="39"/>
      <c r="H233" s="40"/>
      <c r="I233" s="41"/>
      <c r="J233" s="41">
        <f t="shared" si="3"/>
        <v>182</v>
      </c>
      <c r="K233" s="37">
        <v>45803</v>
      </c>
      <c r="L233" s="38" t="s">
        <v>1288</v>
      </c>
      <c r="M233" s="14" t="s">
        <v>529</v>
      </c>
      <c r="N233" s="15" t="s">
        <v>21</v>
      </c>
    </row>
    <row r="234" spans="1:14" ht="14.4" x14ac:dyDescent="0.3">
      <c r="A234" s="42"/>
      <c r="B234" s="39"/>
      <c r="C234" s="39"/>
      <c r="D234" s="39"/>
      <c r="E234" s="43"/>
      <c r="F234" s="39"/>
      <c r="G234" s="39"/>
      <c r="H234" s="40"/>
      <c r="I234" s="41"/>
      <c r="J234" s="41">
        <f t="shared" si="3"/>
        <v>182</v>
      </c>
      <c r="K234" s="37">
        <v>45803</v>
      </c>
      <c r="L234" s="38" t="s">
        <v>1288</v>
      </c>
      <c r="M234" s="14" t="s">
        <v>530</v>
      </c>
      <c r="N234" s="15" t="s">
        <v>21</v>
      </c>
    </row>
    <row r="235" spans="1:14" ht="14.4" hidden="1" x14ac:dyDescent="0.3">
      <c r="A235" s="17" t="s">
        <v>531</v>
      </c>
      <c r="B235" s="18" t="s">
        <v>532</v>
      </c>
      <c r="C235" s="19" t="s">
        <v>533</v>
      </c>
      <c r="D235" s="20" t="s">
        <v>449</v>
      </c>
      <c r="E235" s="21">
        <v>5</v>
      </c>
      <c r="F235" s="12" t="s">
        <v>18</v>
      </c>
      <c r="G235" s="12" t="s">
        <v>19</v>
      </c>
      <c r="H235" s="13">
        <v>45721</v>
      </c>
      <c r="I235" s="22">
        <v>45743</v>
      </c>
      <c r="J235" s="22">
        <f t="shared" si="3"/>
        <v>45927</v>
      </c>
      <c r="K235" s="38" t="s">
        <v>43</v>
      </c>
      <c r="L235" s="38" t="s">
        <v>1263</v>
      </c>
      <c r="M235" s="14" t="s">
        <v>534</v>
      </c>
      <c r="N235" s="15" t="s">
        <v>43</v>
      </c>
    </row>
    <row r="236" spans="1:14" ht="14.4" hidden="1" x14ac:dyDescent="0.3">
      <c r="A236" s="17" t="s">
        <v>535</v>
      </c>
      <c r="B236" s="18" t="s">
        <v>536</v>
      </c>
      <c r="C236" s="19" t="s">
        <v>537</v>
      </c>
      <c r="D236" s="20" t="s">
        <v>375</v>
      </c>
      <c r="E236" s="21">
        <v>8</v>
      </c>
      <c r="F236" s="12" t="s">
        <v>18</v>
      </c>
      <c r="G236" s="12" t="s">
        <v>19</v>
      </c>
      <c r="H236" s="13">
        <v>45721</v>
      </c>
      <c r="I236" s="22">
        <v>45743</v>
      </c>
      <c r="J236" s="22">
        <f t="shared" si="3"/>
        <v>45927</v>
      </c>
      <c r="K236" s="38" t="s">
        <v>34</v>
      </c>
      <c r="L236" s="38" t="s">
        <v>1251</v>
      </c>
      <c r="M236" s="14" t="s">
        <v>538</v>
      </c>
      <c r="N236" s="15" t="s">
        <v>36</v>
      </c>
    </row>
    <row r="237" spans="1:14" ht="14.4" x14ac:dyDescent="0.3">
      <c r="A237" s="9" t="s">
        <v>539</v>
      </c>
      <c r="B237" s="25" t="s">
        <v>540</v>
      </c>
      <c r="C237" s="26" t="s">
        <v>541</v>
      </c>
      <c r="D237" s="10" t="s">
        <v>542</v>
      </c>
      <c r="E237" s="11">
        <v>7</v>
      </c>
      <c r="F237" s="12" t="s">
        <v>18</v>
      </c>
      <c r="G237" s="12" t="s">
        <v>19</v>
      </c>
      <c r="H237" s="13">
        <v>45721</v>
      </c>
      <c r="I237" s="22">
        <v>45743</v>
      </c>
      <c r="J237" s="22">
        <f t="shared" si="3"/>
        <v>45927</v>
      </c>
      <c r="K237" s="37">
        <v>45820</v>
      </c>
      <c r="L237" s="38" t="s">
        <v>1282</v>
      </c>
      <c r="M237" s="14" t="s">
        <v>543</v>
      </c>
      <c r="N237" s="15" t="s">
        <v>21</v>
      </c>
    </row>
    <row r="238" spans="1:14" ht="14.4" hidden="1" x14ac:dyDescent="0.3">
      <c r="A238" s="42" t="s">
        <v>544</v>
      </c>
      <c r="B238" s="39" t="s">
        <v>545</v>
      </c>
      <c r="C238" s="58" t="s">
        <v>546</v>
      </c>
      <c r="D238" s="39" t="s">
        <v>233</v>
      </c>
      <c r="E238" s="43">
        <v>7</v>
      </c>
      <c r="F238" s="39" t="s">
        <v>18</v>
      </c>
      <c r="G238" s="39" t="s">
        <v>19</v>
      </c>
      <c r="H238" s="40">
        <v>45723</v>
      </c>
      <c r="I238" s="41">
        <v>45747</v>
      </c>
      <c r="J238" s="41">
        <f t="shared" si="3"/>
        <v>45930</v>
      </c>
      <c r="K238" s="38" t="s">
        <v>43</v>
      </c>
      <c r="L238" s="38" t="s">
        <v>1260</v>
      </c>
      <c r="M238" s="28" t="s">
        <v>547</v>
      </c>
      <c r="N238" s="15" t="s">
        <v>73</v>
      </c>
    </row>
    <row r="239" spans="1:14" ht="14.4" hidden="1" x14ac:dyDescent="0.3">
      <c r="A239" s="42"/>
      <c r="B239" s="39"/>
      <c r="C239" s="58"/>
      <c r="D239" s="39"/>
      <c r="E239" s="43"/>
      <c r="F239" s="39"/>
      <c r="G239" s="39"/>
      <c r="H239" s="40"/>
      <c r="I239" s="41"/>
      <c r="J239" s="41">
        <f t="shared" si="3"/>
        <v>182</v>
      </c>
      <c r="K239" s="38" t="s">
        <v>43</v>
      </c>
      <c r="L239" s="38" t="s">
        <v>1260</v>
      </c>
      <c r="M239" s="28" t="s">
        <v>548</v>
      </c>
      <c r="N239" s="15" t="s">
        <v>73</v>
      </c>
    </row>
    <row r="240" spans="1:14" ht="14.4" hidden="1" x14ac:dyDescent="0.3">
      <c r="A240" s="42"/>
      <c r="B240" s="39"/>
      <c r="C240" s="58"/>
      <c r="D240" s="39"/>
      <c r="E240" s="43"/>
      <c r="F240" s="39"/>
      <c r="G240" s="39"/>
      <c r="H240" s="40"/>
      <c r="I240" s="41"/>
      <c r="J240" s="41">
        <f t="shared" si="3"/>
        <v>182</v>
      </c>
      <c r="K240" s="38" t="s">
        <v>43</v>
      </c>
      <c r="L240" s="38" t="s">
        <v>1260</v>
      </c>
      <c r="M240" s="28" t="s">
        <v>549</v>
      </c>
      <c r="N240" s="15" t="s">
        <v>73</v>
      </c>
    </row>
    <row r="241" spans="1:14" ht="14.4" hidden="1" x14ac:dyDescent="0.3">
      <c r="A241" s="42" t="s">
        <v>550</v>
      </c>
      <c r="B241" s="39" t="s">
        <v>551</v>
      </c>
      <c r="C241" s="39" t="s">
        <v>552</v>
      </c>
      <c r="D241" s="39" t="s">
        <v>304</v>
      </c>
      <c r="E241" s="43">
        <v>6</v>
      </c>
      <c r="F241" s="39" t="s">
        <v>18</v>
      </c>
      <c r="G241" s="39" t="s">
        <v>19</v>
      </c>
      <c r="H241" s="40">
        <v>45726</v>
      </c>
      <c r="I241" s="41">
        <v>45748</v>
      </c>
      <c r="J241" s="41">
        <f t="shared" si="3"/>
        <v>45931</v>
      </c>
      <c r="K241" s="37">
        <v>45624</v>
      </c>
      <c r="L241" s="38" t="s">
        <v>1289</v>
      </c>
      <c r="M241" s="14" t="s">
        <v>553</v>
      </c>
      <c r="N241" s="15" t="s">
        <v>140</v>
      </c>
    </row>
    <row r="242" spans="1:14" ht="14.4" hidden="1" x14ac:dyDescent="0.3">
      <c r="A242" s="42"/>
      <c r="B242" s="39"/>
      <c r="C242" s="39"/>
      <c r="D242" s="39"/>
      <c r="E242" s="43"/>
      <c r="F242" s="39"/>
      <c r="G242" s="39"/>
      <c r="H242" s="40"/>
      <c r="I242" s="41"/>
      <c r="J242" s="41">
        <f t="shared" si="3"/>
        <v>182</v>
      </c>
      <c r="K242" s="38" t="s">
        <v>43</v>
      </c>
      <c r="L242" s="38" t="s">
        <v>1260</v>
      </c>
      <c r="M242" s="28" t="s">
        <v>554</v>
      </c>
      <c r="N242" s="15" t="s">
        <v>73</v>
      </c>
    </row>
    <row r="243" spans="1:14" ht="14.4" hidden="1" x14ac:dyDescent="0.3">
      <c r="A243" s="42"/>
      <c r="B243" s="39"/>
      <c r="C243" s="39"/>
      <c r="D243" s="39"/>
      <c r="E243" s="43"/>
      <c r="F243" s="39"/>
      <c r="G243" s="39"/>
      <c r="H243" s="40"/>
      <c r="I243" s="41"/>
      <c r="J243" s="41">
        <f t="shared" si="3"/>
        <v>182</v>
      </c>
      <c r="K243" s="37">
        <v>45624</v>
      </c>
      <c r="L243" s="38" t="s">
        <v>1290</v>
      </c>
      <c r="M243" s="14" t="s">
        <v>555</v>
      </c>
      <c r="N243" s="15" t="s">
        <v>140</v>
      </c>
    </row>
    <row r="244" spans="1:14" ht="14.4" hidden="1" x14ac:dyDescent="0.3">
      <c r="A244" s="17" t="s">
        <v>556</v>
      </c>
      <c r="B244" s="18" t="s">
        <v>557</v>
      </c>
      <c r="C244" s="19" t="s">
        <v>558</v>
      </c>
      <c r="D244" s="20" t="s">
        <v>559</v>
      </c>
      <c r="E244" s="21">
        <v>3</v>
      </c>
      <c r="F244" s="12" t="s">
        <v>18</v>
      </c>
      <c r="G244" s="12" t="s">
        <v>19</v>
      </c>
      <c r="H244" s="13">
        <v>45726</v>
      </c>
      <c r="I244" s="22">
        <v>45748</v>
      </c>
      <c r="J244" s="22">
        <f t="shared" si="3"/>
        <v>45931</v>
      </c>
      <c r="K244" s="38" t="s">
        <v>34</v>
      </c>
      <c r="L244" s="38" t="s">
        <v>1258</v>
      </c>
      <c r="M244" s="14" t="s">
        <v>560</v>
      </c>
      <c r="N244" s="15" t="s">
        <v>36</v>
      </c>
    </row>
    <row r="245" spans="1:14" ht="14.4" hidden="1" x14ac:dyDescent="0.3">
      <c r="A245" s="17" t="s">
        <v>561</v>
      </c>
      <c r="B245" s="18" t="s">
        <v>562</v>
      </c>
      <c r="C245" s="19" t="s">
        <v>563</v>
      </c>
      <c r="D245" s="20" t="s">
        <v>564</v>
      </c>
      <c r="E245" s="21">
        <v>10</v>
      </c>
      <c r="F245" s="12" t="s">
        <v>18</v>
      </c>
      <c r="G245" s="12" t="s">
        <v>19</v>
      </c>
      <c r="H245" s="13">
        <v>45726</v>
      </c>
      <c r="I245" s="22">
        <v>45748</v>
      </c>
      <c r="J245" s="22">
        <f t="shared" si="3"/>
        <v>45931</v>
      </c>
      <c r="K245" s="38" t="s">
        <v>43</v>
      </c>
      <c r="L245" s="38" t="s">
        <v>1260</v>
      </c>
      <c r="M245" s="28" t="s">
        <v>565</v>
      </c>
      <c r="N245" s="15" t="s">
        <v>73</v>
      </c>
    </row>
    <row r="246" spans="1:14" ht="14.4" x14ac:dyDescent="0.3">
      <c r="A246" s="17" t="s">
        <v>566</v>
      </c>
      <c r="B246" s="18" t="s">
        <v>567</v>
      </c>
      <c r="C246" s="19" t="s">
        <v>568</v>
      </c>
      <c r="D246" s="20" t="s">
        <v>569</v>
      </c>
      <c r="E246" s="21">
        <v>1</v>
      </c>
      <c r="F246" s="12" t="s">
        <v>18</v>
      </c>
      <c r="G246" s="12" t="s">
        <v>19</v>
      </c>
      <c r="H246" s="13">
        <v>45726</v>
      </c>
      <c r="I246" s="22">
        <v>45748</v>
      </c>
      <c r="J246" s="22">
        <f t="shared" si="3"/>
        <v>45931</v>
      </c>
      <c r="K246" s="37">
        <v>45798</v>
      </c>
      <c r="L246" s="38" t="s">
        <v>1291</v>
      </c>
      <c r="M246" s="14" t="s">
        <v>570</v>
      </c>
      <c r="N246" s="15" t="s">
        <v>21</v>
      </c>
    </row>
    <row r="247" spans="1:14" ht="14.4" hidden="1" x14ac:dyDescent="0.3">
      <c r="A247" s="17" t="s">
        <v>571</v>
      </c>
      <c r="B247" s="18" t="s">
        <v>572</v>
      </c>
      <c r="C247" s="19" t="s">
        <v>573</v>
      </c>
      <c r="D247" s="20" t="s">
        <v>574</v>
      </c>
      <c r="E247" s="21">
        <v>6</v>
      </c>
      <c r="F247" s="12" t="s">
        <v>18</v>
      </c>
      <c r="G247" s="12" t="s">
        <v>19</v>
      </c>
      <c r="H247" s="13">
        <v>45727</v>
      </c>
      <c r="I247" s="22">
        <v>45749</v>
      </c>
      <c r="J247" s="22">
        <f t="shared" si="3"/>
        <v>45932</v>
      </c>
      <c r="K247" s="38" t="s">
        <v>34</v>
      </c>
      <c r="L247" s="38" t="s">
        <v>1250</v>
      </c>
      <c r="M247" s="14" t="s">
        <v>575</v>
      </c>
      <c r="N247" s="15" t="s">
        <v>36</v>
      </c>
    </row>
    <row r="248" spans="1:14" ht="14.4" hidden="1" x14ac:dyDescent="0.3">
      <c r="A248" s="9" t="s">
        <v>576</v>
      </c>
      <c r="B248" s="25" t="s">
        <v>577</v>
      </c>
      <c r="C248" s="26" t="s">
        <v>578</v>
      </c>
      <c r="D248" s="10" t="s">
        <v>341</v>
      </c>
      <c r="E248" s="11">
        <v>1</v>
      </c>
      <c r="F248" s="12" t="s">
        <v>18</v>
      </c>
      <c r="G248" s="12" t="s">
        <v>19</v>
      </c>
      <c r="H248" s="13">
        <v>45727</v>
      </c>
      <c r="I248" s="22">
        <v>45749</v>
      </c>
      <c r="J248" s="22">
        <f t="shared" si="3"/>
        <v>45932</v>
      </c>
      <c r="K248" s="38" t="s">
        <v>34</v>
      </c>
      <c r="L248" s="38" t="s">
        <v>1258</v>
      </c>
      <c r="M248" s="14" t="s">
        <v>579</v>
      </c>
      <c r="N248" s="15" t="s">
        <v>36</v>
      </c>
    </row>
    <row r="249" spans="1:14" ht="14.4" x14ac:dyDescent="0.3">
      <c r="A249" s="42" t="s">
        <v>580</v>
      </c>
      <c r="B249" s="39" t="s">
        <v>581</v>
      </c>
      <c r="C249" s="39" t="s">
        <v>582</v>
      </c>
      <c r="D249" s="39" t="s">
        <v>583</v>
      </c>
      <c r="E249" s="43">
        <v>5</v>
      </c>
      <c r="F249" s="39" t="s">
        <v>18</v>
      </c>
      <c r="G249" s="39" t="s">
        <v>19</v>
      </c>
      <c r="H249" s="40">
        <v>45728</v>
      </c>
      <c r="I249" s="41">
        <v>45750</v>
      </c>
      <c r="J249" s="41">
        <f t="shared" si="3"/>
        <v>45933</v>
      </c>
      <c r="K249" s="37">
        <v>45833</v>
      </c>
      <c r="L249" s="38" t="s">
        <v>1292</v>
      </c>
      <c r="M249" s="14" t="s">
        <v>584</v>
      </c>
      <c r="N249" s="15" t="s">
        <v>21</v>
      </c>
    </row>
    <row r="250" spans="1:14" ht="14.4" x14ac:dyDescent="0.3">
      <c r="A250" s="42"/>
      <c r="B250" s="39"/>
      <c r="C250" s="39"/>
      <c r="D250" s="39"/>
      <c r="E250" s="43"/>
      <c r="F250" s="39"/>
      <c r="G250" s="39"/>
      <c r="H250" s="40"/>
      <c r="I250" s="41"/>
      <c r="J250" s="41">
        <f t="shared" si="3"/>
        <v>182</v>
      </c>
      <c r="K250" s="37">
        <v>45833</v>
      </c>
      <c r="L250" s="38" t="s">
        <v>1292</v>
      </c>
      <c r="M250" s="14" t="s">
        <v>585</v>
      </c>
      <c r="N250" s="15" t="s">
        <v>21</v>
      </c>
    </row>
    <row r="251" spans="1:14" ht="14.4" hidden="1" x14ac:dyDescent="0.3">
      <c r="A251" s="9" t="s">
        <v>586</v>
      </c>
      <c r="B251" s="25" t="s">
        <v>587</v>
      </c>
      <c r="C251" s="26" t="s">
        <v>588</v>
      </c>
      <c r="D251" s="10" t="s">
        <v>589</v>
      </c>
      <c r="E251" s="11">
        <v>8</v>
      </c>
      <c r="F251" s="12" t="s">
        <v>18</v>
      </c>
      <c r="G251" s="12" t="s">
        <v>19</v>
      </c>
      <c r="H251" s="13">
        <v>45728</v>
      </c>
      <c r="I251" s="22">
        <v>45750</v>
      </c>
      <c r="J251" s="22">
        <f t="shared" si="3"/>
        <v>45933</v>
      </c>
      <c r="K251" s="38" t="s">
        <v>34</v>
      </c>
      <c r="L251" s="38" t="s">
        <v>1251</v>
      </c>
      <c r="M251" s="14" t="s">
        <v>590</v>
      </c>
      <c r="N251" s="15" t="s">
        <v>36</v>
      </c>
    </row>
    <row r="252" spans="1:14" ht="14.4" hidden="1" x14ac:dyDescent="0.3">
      <c r="A252" s="42" t="s">
        <v>591</v>
      </c>
      <c r="B252" s="39" t="s">
        <v>592</v>
      </c>
      <c r="C252" s="39" t="s">
        <v>593</v>
      </c>
      <c r="D252" s="39" t="s">
        <v>594</v>
      </c>
      <c r="E252" s="43" t="s">
        <v>594</v>
      </c>
      <c r="F252" s="39" t="s">
        <v>18</v>
      </c>
      <c r="G252" s="39" t="s">
        <v>19</v>
      </c>
      <c r="H252" s="40">
        <v>45728</v>
      </c>
      <c r="I252" s="41">
        <v>45750</v>
      </c>
      <c r="J252" s="41">
        <f t="shared" si="3"/>
        <v>45933</v>
      </c>
      <c r="K252" s="38" t="s">
        <v>34</v>
      </c>
      <c r="L252" s="38" t="s">
        <v>1255</v>
      </c>
      <c r="M252" s="14" t="s">
        <v>595</v>
      </c>
      <c r="N252" s="15" t="s">
        <v>36</v>
      </c>
    </row>
    <row r="253" spans="1:14" ht="14.4" hidden="1" x14ac:dyDescent="0.3">
      <c r="A253" s="42"/>
      <c r="B253" s="39"/>
      <c r="C253" s="39"/>
      <c r="D253" s="39"/>
      <c r="E253" s="43"/>
      <c r="F253" s="39"/>
      <c r="G253" s="39"/>
      <c r="H253" s="40"/>
      <c r="I253" s="41"/>
      <c r="J253" s="41">
        <f t="shared" si="3"/>
        <v>182</v>
      </c>
      <c r="K253" s="38" t="s">
        <v>34</v>
      </c>
      <c r="L253" s="38" t="s">
        <v>1255</v>
      </c>
      <c r="M253" s="14" t="s">
        <v>596</v>
      </c>
      <c r="N253" s="15" t="s">
        <v>36</v>
      </c>
    </row>
    <row r="254" spans="1:14" ht="14.4" hidden="1" x14ac:dyDescent="0.3">
      <c r="A254" s="42"/>
      <c r="B254" s="39"/>
      <c r="C254" s="39"/>
      <c r="D254" s="39"/>
      <c r="E254" s="43"/>
      <c r="F254" s="39"/>
      <c r="G254" s="39"/>
      <c r="H254" s="40"/>
      <c r="I254" s="41"/>
      <c r="J254" s="41">
        <f t="shared" si="3"/>
        <v>182</v>
      </c>
      <c r="K254" s="38" t="s">
        <v>34</v>
      </c>
      <c r="L254" s="38" t="s">
        <v>1255</v>
      </c>
      <c r="M254" s="14" t="s">
        <v>597</v>
      </c>
      <c r="N254" s="15" t="s">
        <v>36</v>
      </c>
    </row>
    <row r="255" spans="1:14" ht="14.4" hidden="1" x14ac:dyDescent="0.3">
      <c r="A255" s="42"/>
      <c r="B255" s="39"/>
      <c r="C255" s="39"/>
      <c r="D255" s="39"/>
      <c r="E255" s="43"/>
      <c r="F255" s="39"/>
      <c r="G255" s="39"/>
      <c r="H255" s="40"/>
      <c r="I255" s="41"/>
      <c r="J255" s="41">
        <f t="shared" si="3"/>
        <v>182</v>
      </c>
      <c r="K255" s="38" t="s">
        <v>34</v>
      </c>
      <c r="L255" s="38" t="s">
        <v>1255</v>
      </c>
      <c r="M255" s="14" t="s">
        <v>598</v>
      </c>
      <c r="N255" s="15" t="s">
        <v>36</v>
      </c>
    </row>
    <row r="256" spans="1:14" ht="14.4" hidden="1" x14ac:dyDescent="0.3">
      <c r="A256" s="42"/>
      <c r="B256" s="39"/>
      <c r="C256" s="39"/>
      <c r="D256" s="39"/>
      <c r="E256" s="43"/>
      <c r="F256" s="39"/>
      <c r="G256" s="39"/>
      <c r="H256" s="40"/>
      <c r="I256" s="41"/>
      <c r="J256" s="41">
        <f t="shared" si="3"/>
        <v>182</v>
      </c>
      <c r="K256" s="38" t="s">
        <v>34</v>
      </c>
      <c r="L256" s="38" t="s">
        <v>1255</v>
      </c>
      <c r="M256" s="14" t="s">
        <v>599</v>
      </c>
      <c r="N256" s="15" t="s">
        <v>36</v>
      </c>
    </row>
    <row r="257" spans="1:14" ht="14.4" hidden="1" x14ac:dyDescent="0.3">
      <c r="A257" s="42"/>
      <c r="B257" s="39"/>
      <c r="C257" s="39"/>
      <c r="D257" s="39"/>
      <c r="E257" s="43"/>
      <c r="F257" s="39"/>
      <c r="G257" s="39"/>
      <c r="H257" s="40"/>
      <c r="I257" s="41"/>
      <c r="J257" s="41">
        <f t="shared" si="3"/>
        <v>182</v>
      </c>
      <c r="K257" s="38" t="s">
        <v>34</v>
      </c>
      <c r="L257" s="38" t="s">
        <v>1255</v>
      </c>
      <c r="M257" s="14" t="s">
        <v>600</v>
      </c>
      <c r="N257" s="15" t="s">
        <v>36</v>
      </c>
    </row>
    <row r="258" spans="1:14" ht="14.4" hidden="1" x14ac:dyDescent="0.3">
      <c r="A258" s="42"/>
      <c r="B258" s="39"/>
      <c r="C258" s="39"/>
      <c r="D258" s="39"/>
      <c r="E258" s="43"/>
      <c r="F258" s="39"/>
      <c r="G258" s="39"/>
      <c r="H258" s="40"/>
      <c r="I258" s="41"/>
      <c r="J258" s="41">
        <f t="shared" si="3"/>
        <v>182</v>
      </c>
      <c r="K258" s="38" t="s">
        <v>34</v>
      </c>
      <c r="L258" s="38" t="s">
        <v>1255</v>
      </c>
      <c r="M258" s="14" t="s">
        <v>601</v>
      </c>
      <c r="N258" s="15" t="s">
        <v>36</v>
      </c>
    </row>
    <row r="259" spans="1:14" ht="14.4" hidden="1" x14ac:dyDescent="0.3">
      <c r="A259" s="42"/>
      <c r="B259" s="39"/>
      <c r="C259" s="39"/>
      <c r="D259" s="39"/>
      <c r="E259" s="43"/>
      <c r="F259" s="39"/>
      <c r="G259" s="39"/>
      <c r="H259" s="40"/>
      <c r="I259" s="41"/>
      <c r="J259" s="41">
        <f t="shared" si="3"/>
        <v>182</v>
      </c>
      <c r="K259" s="38" t="s">
        <v>34</v>
      </c>
      <c r="L259" s="38" t="s">
        <v>1255</v>
      </c>
      <c r="M259" s="14" t="s">
        <v>602</v>
      </c>
      <c r="N259" s="15" t="s">
        <v>36</v>
      </c>
    </row>
    <row r="260" spans="1:14" ht="14.4" hidden="1" x14ac:dyDescent="0.3">
      <c r="A260" s="42"/>
      <c r="B260" s="39"/>
      <c r="C260" s="39"/>
      <c r="D260" s="39"/>
      <c r="E260" s="43"/>
      <c r="F260" s="39"/>
      <c r="G260" s="39"/>
      <c r="H260" s="40"/>
      <c r="I260" s="41"/>
      <c r="J260" s="41">
        <f t="shared" si="3"/>
        <v>182</v>
      </c>
      <c r="K260" s="38" t="s">
        <v>34</v>
      </c>
      <c r="L260" s="38" t="s">
        <v>1255</v>
      </c>
      <c r="M260" s="14" t="s">
        <v>603</v>
      </c>
      <c r="N260" s="15" t="s">
        <v>36</v>
      </c>
    </row>
    <row r="261" spans="1:14" ht="14.4" hidden="1" x14ac:dyDescent="0.3">
      <c r="A261" s="42"/>
      <c r="B261" s="39"/>
      <c r="C261" s="39"/>
      <c r="D261" s="39"/>
      <c r="E261" s="43"/>
      <c r="F261" s="39"/>
      <c r="G261" s="39"/>
      <c r="H261" s="40"/>
      <c r="I261" s="41"/>
      <c r="J261" s="41">
        <f t="shared" si="3"/>
        <v>182</v>
      </c>
      <c r="K261" s="38" t="s">
        <v>34</v>
      </c>
      <c r="L261" s="38" t="s">
        <v>1255</v>
      </c>
      <c r="M261" s="14" t="s">
        <v>604</v>
      </c>
      <c r="N261" s="15" t="s">
        <v>36</v>
      </c>
    </row>
    <row r="262" spans="1:14" ht="14.4" hidden="1" x14ac:dyDescent="0.3">
      <c r="A262" s="42"/>
      <c r="B262" s="39"/>
      <c r="C262" s="39"/>
      <c r="D262" s="39"/>
      <c r="E262" s="43"/>
      <c r="F262" s="39"/>
      <c r="G262" s="39"/>
      <c r="H262" s="40"/>
      <c r="I262" s="41"/>
      <c r="J262" s="41">
        <f t="shared" si="3"/>
        <v>182</v>
      </c>
      <c r="K262" s="38" t="s">
        <v>34</v>
      </c>
      <c r="L262" s="38" t="s">
        <v>1255</v>
      </c>
      <c r="M262" s="14" t="s">
        <v>605</v>
      </c>
      <c r="N262" s="15" t="s">
        <v>36</v>
      </c>
    </row>
    <row r="263" spans="1:14" ht="14.4" hidden="1" x14ac:dyDescent="0.3">
      <c r="A263" s="42"/>
      <c r="B263" s="39"/>
      <c r="C263" s="39"/>
      <c r="D263" s="39"/>
      <c r="E263" s="43"/>
      <c r="F263" s="39"/>
      <c r="G263" s="39"/>
      <c r="H263" s="40"/>
      <c r="I263" s="41"/>
      <c r="J263" s="41">
        <f t="shared" si="3"/>
        <v>182</v>
      </c>
      <c r="K263" s="38" t="s">
        <v>34</v>
      </c>
      <c r="L263" s="38" t="s">
        <v>1255</v>
      </c>
      <c r="M263" s="14" t="s">
        <v>606</v>
      </c>
      <c r="N263" s="15" t="s">
        <v>36</v>
      </c>
    </row>
    <row r="264" spans="1:14" ht="14.4" hidden="1" x14ac:dyDescent="0.3">
      <c r="A264" s="42"/>
      <c r="B264" s="39"/>
      <c r="C264" s="39"/>
      <c r="D264" s="39"/>
      <c r="E264" s="43"/>
      <c r="F264" s="39"/>
      <c r="G264" s="39"/>
      <c r="H264" s="40"/>
      <c r="I264" s="41"/>
      <c r="J264" s="41">
        <f t="shared" ref="J264:J327" si="4">EDATE(I264,6)</f>
        <v>182</v>
      </c>
      <c r="K264" s="38" t="s">
        <v>34</v>
      </c>
      <c r="L264" s="38" t="s">
        <v>1255</v>
      </c>
      <c r="M264" s="14" t="s">
        <v>607</v>
      </c>
      <c r="N264" s="15" t="s">
        <v>36</v>
      </c>
    </row>
    <row r="265" spans="1:14" ht="14.4" x14ac:dyDescent="0.3">
      <c r="A265" s="42"/>
      <c r="B265" s="39"/>
      <c r="C265" s="39"/>
      <c r="D265" s="39"/>
      <c r="E265" s="43"/>
      <c r="F265" s="39"/>
      <c r="G265" s="39"/>
      <c r="H265" s="40"/>
      <c r="I265" s="41"/>
      <c r="J265" s="41">
        <f t="shared" si="4"/>
        <v>182</v>
      </c>
      <c r="K265" s="37">
        <v>45672</v>
      </c>
      <c r="L265" s="38" t="s">
        <v>1293</v>
      </c>
      <c r="M265" s="14" t="s">
        <v>608</v>
      </c>
      <c r="N265" s="15" t="s">
        <v>21</v>
      </c>
    </row>
    <row r="266" spans="1:14" ht="14.4" hidden="1" x14ac:dyDescent="0.3">
      <c r="A266" s="42"/>
      <c r="B266" s="39"/>
      <c r="C266" s="39"/>
      <c r="D266" s="39"/>
      <c r="E266" s="43"/>
      <c r="F266" s="39"/>
      <c r="G266" s="39"/>
      <c r="H266" s="40"/>
      <c r="I266" s="41"/>
      <c r="J266" s="41">
        <f t="shared" si="4"/>
        <v>182</v>
      </c>
      <c r="K266" s="38" t="s">
        <v>34</v>
      </c>
      <c r="L266" s="38" t="s">
        <v>1255</v>
      </c>
      <c r="M266" s="14" t="s">
        <v>609</v>
      </c>
      <c r="N266" s="15" t="s">
        <v>36</v>
      </c>
    </row>
    <row r="267" spans="1:14" ht="14.4" hidden="1" x14ac:dyDescent="0.3">
      <c r="A267" s="42"/>
      <c r="B267" s="39"/>
      <c r="C267" s="39"/>
      <c r="D267" s="39"/>
      <c r="E267" s="43"/>
      <c r="F267" s="39"/>
      <c r="G267" s="39"/>
      <c r="H267" s="40"/>
      <c r="I267" s="41"/>
      <c r="J267" s="41">
        <f t="shared" si="4"/>
        <v>182</v>
      </c>
      <c r="K267" s="38" t="s">
        <v>34</v>
      </c>
      <c r="L267" s="38" t="s">
        <v>1255</v>
      </c>
      <c r="M267" s="14" t="s">
        <v>610</v>
      </c>
      <c r="N267" s="15" t="s">
        <v>36</v>
      </c>
    </row>
    <row r="268" spans="1:14" ht="14.4" hidden="1" x14ac:dyDescent="0.3">
      <c r="A268" s="42"/>
      <c r="B268" s="39"/>
      <c r="C268" s="39"/>
      <c r="D268" s="39"/>
      <c r="E268" s="43"/>
      <c r="F268" s="39"/>
      <c r="G268" s="39"/>
      <c r="H268" s="40"/>
      <c r="I268" s="41"/>
      <c r="J268" s="41">
        <f t="shared" si="4"/>
        <v>182</v>
      </c>
      <c r="K268" s="38" t="s">
        <v>34</v>
      </c>
      <c r="L268" s="38" t="s">
        <v>1255</v>
      </c>
      <c r="M268" s="14" t="s">
        <v>611</v>
      </c>
      <c r="N268" s="15" t="s">
        <v>36</v>
      </c>
    </row>
    <row r="269" spans="1:14" ht="14.4" hidden="1" x14ac:dyDescent="0.3">
      <c r="A269" s="42"/>
      <c r="B269" s="39"/>
      <c r="C269" s="39"/>
      <c r="D269" s="39"/>
      <c r="E269" s="43"/>
      <c r="F269" s="39"/>
      <c r="G269" s="39"/>
      <c r="H269" s="40"/>
      <c r="I269" s="41"/>
      <c r="J269" s="41">
        <f t="shared" si="4"/>
        <v>182</v>
      </c>
      <c r="K269" s="38" t="s">
        <v>34</v>
      </c>
      <c r="L269" s="38" t="s">
        <v>1255</v>
      </c>
      <c r="M269" s="14" t="s">
        <v>612</v>
      </c>
      <c r="N269" s="15" t="s">
        <v>36</v>
      </c>
    </row>
    <row r="270" spans="1:14" ht="14.4" hidden="1" x14ac:dyDescent="0.3">
      <c r="A270" s="42"/>
      <c r="B270" s="39"/>
      <c r="C270" s="39"/>
      <c r="D270" s="39"/>
      <c r="E270" s="43"/>
      <c r="F270" s="39"/>
      <c r="G270" s="39"/>
      <c r="H270" s="40"/>
      <c r="I270" s="41"/>
      <c r="J270" s="41">
        <f t="shared" si="4"/>
        <v>182</v>
      </c>
      <c r="K270" s="38" t="s">
        <v>34</v>
      </c>
      <c r="L270" s="38" t="s">
        <v>1255</v>
      </c>
      <c r="M270" s="14" t="s">
        <v>613</v>
      </c>
      <c r="N270" s="15" t="s">
        <v>36</v>
      </c>
    </row>
    <row r="271" spans="1:14" ht="14.4" hidden="1" x14ac:dyDescent="0.3">
      <c r="A271" s="42"/>
      <c r="B271" s="39"/>
      <c r="C271" s="39"/>
      <c r="D271" s="39"/>
      <c r="E271" s="43"/>
      <c r="F271" s="39"/>
      <c r="G271" s="39"/>
      <c r="H271" s="40"/>
      <c r="I271" s="41"/>
      <c r="J271" s="41">
        <f t="shared" si="4"/>
        <v>182</v>
      </c>
      <c r="K271" s="38" t="s">
        <v>34</v>
      </c>
      <c r="L271" s="38" t="s">
        <v>1255</v>
      </c>
      <c r="M271" s="14" t="s">
        <v>614</v>
      </c>
      <c r="N271" s="15" t="s">
        <v>36</v>
      </c>
    </row>
    <row r="272" spans="1:14" ht="14.4" hidden="1" x14ac:dyDescent="0.3">
      <c r="A272" s="42"/>
      <c r="B272" s="39"/>
      <c r="C272" s="39"/>
      <c r="D272" s="39"/>
      <c r="E272" s="43"/>
      <c r="F272" s="39"/>
      <c r="G272" s="39"/>
      <c r="H272" s="40"/>
      <c r="I272" s="41"/>
      <c r="J272" s="41">
        <f t="shared" si="4"/>
        <v>182</v>
      </c>
      <c r="K272" s="38" t="s">
        <v>34</v>
      </c>
      <c r="L272" s="38" t="s">
        <v>1255</v>
      </c>
      <c r="M272" s="14" t="s">
        <v>615</v>
      </c>
      <c r="N272" s="15" t="s">
        <v>36</v>
      </c>
    </row>
    <row r="273" spans="1:14" ht="14.4" hidden="1" x14ac:dyDescent="0.3">
      <c r="A273" s="42"/>
      <c r="B273" s="39"/>
      <c r="C273" s="39"/>
      <c r="D273" s="39"/>
      <c r="E273" s="43"/>
      <c r="F273" s="39"/>
      <c r="G273" s="39"/>
      <c r="H273" s="40"/>
      <c r="I273" s="41"/>
      <c r="J273" s="41">
        <f t="shared" si="4"/>
        <v>182</v>
      </c>
      <c r="K273" s="38" t="s">
        <v>34</v>
      </c>
      <c r="L273" s="38" t="s">
        <v>1255</v>
      </c>
      <c r="M273" s="14" t="s">
        <v>616</v>
      </c>
      <c r="N273" s="15" t="s">
        <v>36</v>
      </c>
    </row>
    <row r="274" spans="1:14" ht="14.4" hidden="1" x14ac:dyDescent="0.3">
      <c r="A274" s="42"/>
      <c r="B274" s="39"/>
      <c r="C274" s="39"/>
      <c r="D274" s="39"/>
      <c r="E274" s="43"/>
      <c r="F274" s="39"/>
      <c r="G274" s="39"/>
      <c r="H274" s="40"/>
      <c r="I274" s="41"/>
      <c r="J274" s="41">
        <f t="shared" si="4"/>
        <v>182</v>
      </c>
      <c r="K274" s="38" t="s">
        <v>34</v>
      </c>
      <c r="L274" s="38" t="s">
        <v>1255</v>
      </c>
      <c r="M274" s="14" t="s">
        <v>617</v>
      </c>
      <c r="N274" s="15" t="s">
        <v>36</v>
      </c>
    </row>
    <row r="275" spans="1:14" ht="14.4" hidden="1" x14ac:dyDescent="0.3">
      <c r="A275" s="42"/>
      <c r="B275" s="39"/>
      <c r="C275" s="39"/>
      <c r="D275" s="39"/>
      <c r="E275" s="43"/>
      <c r="F275" s="39"/>
      <c r="G275" s="39"/>
      <c r="H275" s="40"/>
      <c r="I275" s="41"/>
      <c r="J275" s="41">
        <f t="shared" si="4"/>
        <v>182</v>
      </c>
      <c r="K275" s="38" t="s">
        <v>34</v>
      </c>
      <c r="L275" s="38" t="s">
        <v>1255</v>
      </c>
      <c r="M275" s="14" t="s">
        <v>618</v>
      </c>
      <c r="N275" s="15" t="s">
        <v>36</v>
      </c>
    </row>
    <row r="276" spans="1:14" ht="14.4" hidden="1" x14ac:dyDescent="0.3">
      <c r="A276" s="42"/>
      <c r="B276" s="39"/>
      <c r="C276" s="39"/>
      <c r="D276" s="39"/>
      <c r="E276" s="43"/>
      <c r="F276" s="39"/>
      <c r="G276" s="39"/>
      <c r="H276" s="40"/>
      <c r="I276" s="41"/>
      <c r="J276" s="41">
        <f t="shared" si="4"/>
        <v>182</v>
      </c>
      <c r="K276" s="38" t="s">
        <v>34</v>
      </c>
      <c r="L276" s="38" t="s">
        <v>1255</v>
      </c>
      <c r="M276" s="14" t="s">
        <v>619</v>
      </c>
      <c r="N276" s="15" t="s">
        <v>36</v>
      </c>
    </row>
    <row r="277" spans="1:14" ht="14.4" hidden="1" x14ac:dyDescent="0.3">
      <c r="A277" s="42"/>
      <c r="B277" s="39"/>
      <c r="C277" s="39"/>
      <c r="D277" s="39"/>
      <c r="E277" s="43"/>
      <c r="F277" s="39"/>
      <c r="G277" s="39"/>
      <c r="H277" s="40"/>
      <c r="I277" s="41"/>
      <c r="J277" s="41">
        <f t="shared" si="4"/>
        <v>182</v>
      </c>
      <c r="K277" s="38" t="s">
        <v>34</v>
      </c>
      <c r="L277" s="38" t="s">
        <v>1255</v>
      </c>
      <c r="M277" s="14" t="s">
        <v>620</v>
      </c>
      <c r="N277" s="15" t="s">
        <v>36</v>
      </c>
    </row>
    <row r="278" spans="1:14" ht="14.4" hidden="1" x14ac:dyDescent="0.3">
      <c r="A278" s="42"/>
      <c r="B278" s="39"/>
      <c r="C278" s="39"/>
      <c r="D278" s="39"/>
      <c r="E278" s="43"/>
      <c r="F278" s="39"/>
      <c r="G278" s="39"/>
      <c r="H278" s="40"/>
      <c r="I278" s="41"/>
      <c r="J278" s="41">
        <f t="shared" si="4"/>
        <v>182</v>
      </c>
      <c r="K278" s="38" t="s">
        <v>34</v>
      </c>
      <c r="L278" s="38" t="s">
        <v>1255</v>
      </c>
      <c r="M278" s="14" t="s">
        <v>621</v>
      </c>
      <c r="N278" s="15" t="s">
        <v>36</v>
      </c>
    </row>
    <row r="279" spans="1:14" ht="14.4" hidden="1" x14ac:dyDescent="0.3">
      <c r="A279" s="42"/>
      <c r="B279" s="39"/>
      <c r="C279" s="39"/>
      <c r="D279" s="39"/>
      <c r="E279" s="43"/>
      <c r="F279" s="39"/>
      <c r="G279" s="39"/>
      <c r="H279" s="40"/>
      <c r="I279" s="41"/>
      <c r="J279" s="41">
        <f t="shared" si="4"/>
        <v>182</v>
      </c>
      <c r="K279" s="38" t="s">
        <v>34</v>
      </c>
      <c r="L279" s="38" t="s">
        <v>1255</v>
      </c>
      <c r="M279" s="14" t="s">
        <v>622</v>
      </c>
      <c r="N279" s="15" t="s">
        <v>36</v>
      </c>
    </row>
    <row r="280" spans="1:14" ht="14.4" hidden="1" x14ac:dyDescent="0.3">
      <c r="A280" s="42"/>
      <c r="B280" s="39"/>
      <c r="C280" s="39"/>
      <c r="D280" s="39"/>
      <c r="E280" s="43"/>
      <c r="F280" s="39"/>
      <c r="G280" s="39"/>
      <c r="H280" s="40"/>
      <c r="I280" s="41"/>
      <c r="J280" s="41">
        <f t="shared" si="4"/>
        <v>182</v>
      </c>
      <c r="K280" s="38" t="s">
        <v>34</v>
      </c>
      <c r="L280" s="38" t="s">
        <v>1255</v>
      </c>
      <c r="M280" s="14" t="s">
        <v>623</v>
      </c>
      <c r="N280" s="15" t="s">
        <v>36</v>
      </c>
    </row>
    <row r="281" spans="1:14" ht="14.4" hidden="1" x14ac:dyDescent="0.3">
      <c r="A281" s="42"/>
      <c r="B281" s="39"/>
      <c r="C281" s="39"/>
      <c r="D281" s="39"/>
      <c r="E281" s="43"/>
      <c r="F281" s="39"/>
      <c r="G281" s="39"/>
      <c r="H281" s="40"/>
      <c r="I281" s="41"/>
      <c r="J281" s="41">
        <f t="shared" si="4"/>
        <v>182</v>
      </c>
      <c r="K281" s="38" t="s">
        <v>34</v>
      </c>
      <c r="L281" s="38" t="s">
        <v>1255</v>
      </c>
      <c r="M281" s="14" t="s">
        <v>624</v>
      </c>
      <c r="N281" s="15" t="s">
        <v>36</v>
      </c>
    </row>
    <row r="282" spans="1:14" ht="14.4" hidden="1" x14ac:dyDescent="0.3">
      <c r="A282" s="42"/>
      <c r="B282" s="39"/>
      <c r="C282" s="39"/>
      <c r="D282" s="39"/>
      <c r="E282" s="43"/>
      <c r="F282" s="39"/>
      <c r="G282" s="39"/>
      <c r="H282" s="40"/>
      <c r="I282" s="41"/>
      <c r="J282" s="41">
        <f t="shared" si="4"/>
        <v>182</v>
      </c>
      <c r="K282" s="38" t="s">
        <v>34</v>
      </c>
      <c r="L282" s="38" t="s">
        <v>1255</v>
      </c>
      <c r="M282" s="14" t="s">
        <v>625</v>
      </c>
      <c r="N282" s="15" t="s">
        <v>36</v>
      </c>
    </row>
    <row r="283" spans="1:14" ht="14.4" hidden="1" x14ac:dyDescent="0.3">
      <c r="A283" s="42"/>
      <c r="B283" s="39"/>
      <c r="C283" s="39"/>
      <c r="D283" s="39"/>
      <c r="E283" s="43"/>
      <c r="F283" s="39"/>
      <c r="G283" s="39"/>
      <c r="H283" s="40"/>
      <c r="I283" s="41"/>
      <c r="J283" s="41">
        <f t="shared" si="4"/>
        <v>182</v>
      </c>
      <c r="K283" s="38" t="s">
        <v>34</v>
      </c>
      <c r="L283" s="38" t="s">
        <v>1255</v>
      </c>
      <c r="M283" s="14" t="s">
        <v>626</v>
      </c>
      <c r="N283" s="15" t="s">
        <v>36</v>
      </c>
    </row>
    <row r="284" spans="1:14" ht="14.4" hidden="1" x14ac:dyDescent="0.3">
      <c r="A284" s="42"/>
      <c r="B284" s="39"/>
      <c r="C284" s="39"/>
      <c r="D284" s="39"/>
      <c r="E284" s="43"/>
      <c r="F284" s="39"/>
      <c r="G284" s="39"/>
      <c r="H284" s="40"/>
      <c r="I284" s="41"/>
      <c r="J284" s="41">
        <f t="shared" si="4"/>
        <v>182</v>
      </c>
      <c r="K284" s="38" t="s">
        <v>34</v>
      </c>
      <c r="L284" s="38" t="s">
        <v>1255</v>
      </c>
      <c r="M284" s="14" t="s">
        <v>627</v>
      </c>
      <c r="N284" s="15" t="s">
        <v>36</v>
      </c>
    </row>
    <row r="285" spans="1:14" ht="14.4" hidden="1" x14ac:dyDescent="0.3">
      <c r="A285" s="42"/>
      <c r="B285" s="39"/>
      <c r="C285" s="39"/>
      <c r="D285" s="39"/>
      <c r="E285" s="43"/>
      <c r="F285" s="39"/>
      <c r="G285" s="39"/>
      <c r="H285" s="40"/>
      <c r="I285" s="41"/>
      <c r="J285" s="41">
        <f t="shared" si="4"/>
        <v>182</v>
      </c>
      <c r="K285" s="38" t="s">
        <v>34</v>
      </c>
      <c r="L285" s="38" t="s">
        <v>1255</v>
      </c>
      <c r="M285" s="14" t="s">
        <v>628</v>
      </c>
      <c r="N285" s="15" t="s">
        <v>36</v>
      </c>
    </row>
    <row r="286" spans="1:14" ht="14.4" hidden="1" x14ac:dyDescent="0.3">
      <c r="A286" s="42"/>
      <c r="B286" s="39"/>
      <c r="C286" s="39"/>
      <c r="D286" s="39"/>
      <c r="E286" s="43"/>
      <c r="F286" s="39"/>
      <c r="G286" s="39"/>
      <c r="H286" s="40"/>
      <c r="I286" s="41"/>
      <c r="J286" s="41">
        <f t="shared" si="4"/>
        <v>182</v>
      </c>
      <c r="K286" s="38" t="s">
        <v>34</v>
      </c>
      <c r="L286" s="38" t="s">
        <v>1255</v>
      </c>
      <c r="M286" s="14" t="s">
        <v>629</v>
      </c>
      <c r="N286" s="15" t="s">
        <v>36</v>
      </c>
    </row>
    <row r="287" spans="1:14" ht="14.4" hidden="1" x14ac:dyDescent="0.3">
      <c r="A287" s="42"/>
      <c r="B287" s="39"/>
      <c r="C287" s="39"/>
      <c r="D287" s="39"/>
      <c r="E287" s="43"/>
      <c r="F287" s="39"/>
      <c r="G287" s="39"/>
      <c r="H287" s="40"/>
      <c r="I287" s="41"/>
      <c r="J287" s="41">
        <f t="shared" si="4"/>
        <v>182</v>
      </c>
      <c r="K287" s="38" t="s">
        <v>34</v>
      </c>
      <c r="L287" s="38" t="s">
        <v>1255</v>
      </c>
      <c r="M287" s="14" t="s">
        <v>630</v>
      </c>
      <c r="N287" s="15" t="s">
        <v>36</v>
      </c>
    </row>
    <row r="288" spans="1:14" ht="14.4" hidden="1" x14ac:dyDescent="0.3">
      <c r="A288" s="42"/>
      <c r="B288" s="39"/>
      <c r="C288" s="39"/>
      <c r="D288" s="39"/>
      <c r="E288" s="43"/>
      <c r="F288" s="39"/>
      <c r="G288" s="39"/>
      <c r="H288" s="40"/>
      <c r="I288" s="41"/>
      <c r="J288" s="41">
        <f t="shared" si="4"/>
        <v>182</v>
      </c>
      <c r="K288" s="38" t="s">
        <v>34</v>
      </c>
      <c r="L288" s="38" t="s">
        <v>1255</v>
      </c>
      <c r="M288" s="14" t="s">
        <v>631</v>
      </c>
      <c r="N288" s="15" t="s">
        <v>36</v>
      </c>
    </row>
    <row r="289" spans="1:14" ht="14.4" hidden="1" x14ac:dyDescent="0.3">
      <c r="A289" s="42"/>
      <c r="B289" s="39"/>
      <c r="C289" s="39"/>
      <c r="D289" s="39"/>
      <c r="E289" s="43"/>
      <c r="F289" s="39"/>
      <c r="G289" s="39"/>
      <c r="H289" s="40"/>
      <c r="I289" s="41"/>
      <c r="J289" s="41">
        <f t="shared" si="4"/>
        <v>182</v>
      </c>
      <c r="K289" s="38" t="s">
        <v>34</v>
      </c>
      <c r="L289" s="38" t="s">
        <v>1255</v>
      </c>
      <c r="M289" s="14" t="s">
        <v>631</v>
      </c>
      <c r="N289" s="15" t="s">
        <v>36</v>
      </c>
    </row>
    <row r="290" spans="1:14" ht="14.4" hidden="1" x14ac:dyDescent="0.3">
      <c r="A290" s="42"/>
      <c r="B290" s="39"/>
      <c r="C290" s="39"/>
      <c r="D290" s="39"/>
      <c r="E290" s="43"/>
      <c r="F290" s="39"/>
      <c r="G290" s="39"/>
      <c r="H290" s="40"/>
      <c r="I290" s="41"/>
      <c r="J290" s="41">
        <f t="shared" si="4"/>
        <v>182</v>
      </c>
      <c r="K290" s="38" t="s">
        <v>43</v>
      </c>
      <c r="L290" s="38" t="s">
        <v>1260</v>
      </c>
      <c r="M290" s="28" t="s">
        <v>632</v>
      </c>
      <c r="N290" s="15" t="s">
        <v>73</v>
      </c>
    </row>
    <row r="291" spans="1:14" ht="14.4" hidden="1" x14ac:dyDescent="0.3">
      <c r="A291" s="42"/>
      <c r="B291" s="39"/>
      <c r="C291" s="39"/>
      <c r="D291" s="39"/>
      <c r="E291" s="43"/>
      <c r="F291" s="39"/>
      <c r="G291" s="39"/>
      <c r="H291" s="40"/>
      <c r="I291" s="41"/>
      <c r="J291" s="41">
        <f t="shared" si="4"/>
        <v>182</v>
      </c>
      <c r="K291" s="38" t="s">
        <v>34</v>
      </c>
      <c r="L291" s="38" t="s">
        <v>1255</v>
      </c>
      <c r="M291" s="14" t="s">
        <v>633</v>
      </c>
      <c r="N291" s="15" t="s">
        <v>36</v>
      </c>
    </row>
    <row r="292" spans="1:14" ht="14.4" hidden="1" x14ac:dyDescent="0.3">
      <c r="A292" s="42"/>
      <c r="B292" s="39"/>
      <c r="C292" s="39"/>
      <c r="D292" s="39"/>
      <c r="E292" s="43"/>
      <c r="F292" s="39"/>
      <c r="G292" s="39"/>
      <c r="H292" s="40"/>
      <c r="I292" s="41"/>
      <c r="J292" s="41">
        <f t="shared" si="4"/>
        <v>182</v>
      </c>
      <c r="K292" s="38" t="s">
        <v>34</v>
      </c>
      <c r="L292" s="38" t="s">
        <v>1255</v>
      </c>
      <c r="M292" s="14" t="s">
        <v>634</v>
      </c>
      <c r="N292" s="15" t="s">
        <v>36</v>
      </c>
    </row>
    <row r="293" spans="1:14" ht="14.4" x14ac:dyDescent="0.3">
      <c r="A293" s="42" t="s">
        <v>635</v>
      </c>
      <c r="B293" s="39" t="s">
        <v>636</v>
      </c>
      <c r="C293" s="39" t="s">
        <v>637</v>
      </c>
      <c r="D293" s="39" t="s">
        <v>262</v>
      </c>
      <c r="E293" s="43">
        <v>9</v>
      </c>
      <c r="F293" s="39" t="s">
        <v>18</v>
      </c>
      <c r="G293" s="39" t="s">
        <v>19</v>
      </c>
      <c r="H293" s="40">
        <v>45728</v>
      </c>
      <c r="I293" s="41">
        <v>45750</v>
      </c>
      <c r="J293" s="41">
        <f t="shared" si="4"/>
        <v>45933</v>
      </c>
      <c r="K293" s="37">
        <v>45840</v>
      </c>
      <c r="L293" s="38" t="s">
        <v>1294</v>
      </c>
      <c r="M293" s="14" t="s">
        <v>638</v>
      </c>
      <c r="N293" s="15" t="s">
        <v>21</v>
      </c>
    </row>
    <row r="294" spans="1:14" ht="14.4" x14ac:dyDescent="0.3">
      <c r="A294" s="42"/>
      <c r="B294" s="39"/>
      <c r="C294" s="39"/>
      <c r="D294" s="39"/>
      <c r="E294" s="43"/>
      <c r="F294" s="39"/>
      <c r="G294" s="39"/>
      <c r="H294" s="40"/>
      <c r="I294" s="41"/>
      <c r="J294" s="41">
        <f t="shared" si="4"/>
        <v>182</v>
      </c>
      <c r="K294" s="37">
        <v>45840</v>
      </c>
      <c r="L294" s="38" t="s">
        <v>1294</v>
      </c>
      <c r="M294" s="14" t="s">
        <v>639</v>
      </c>
      <c r="N294" s="15" t="s">
        <v>21</v>
      </c>
    </row>
    <row r="295" spans="1:14" ht="14.4" x14ac:dyDescent="0.3">
      <c r="A295" s="42"/>
      <c r="B295" s="39"/>
      <c r="C295" s="39"/>
      <c r="D295" s="39"/>
      <c r="E295" s="43"/>
      <c r="F295" s="39"/>
      <c r="G295" s="39"/>
      <c r="H295" s="40"/>
      <c r="I295" s="41"/>
      <c r="J295" s="41">
        <f t="shared" si="4"/>
        <v>182</v>
      </c>
      <c r="K295" s="37">
        <v>45834</v>
      </c>
      <c r="L295" s="38" t="s">
        <v>1295</v>
      </c>
      <c r="M295" s="14" t="s">
        <v>640</v>
      </c>
      <c r="N295" s="15" t="s">
        <v>21</v>
      </c>
    </row>
    <row r="296" spans="1:14" ht="14.4" x14ac:dyDescent="0.3">
      <c r="A296" s="42"/>
      <c r="B296" s="39"/>
      <c r="C296" s="39"/>
      <c r="D296" s="39"/>
      <c r="E296" s="43"/>
      <c r="F296" s="39"/>
      <c r="G296" s="39"/>
      <c r="H296" s="40"/>
      <c r="I296" s="41"/>
      <c r="J296" s="41">
        <f t="shared" si="4"/>
        <v>182</v>
      </c>
      <c r="K296" s="37">
        <v>45834</v>
      </c>
      <c r="L296" s="38" t="s">
        <v>1295</v>
      </c>
      <c r="M296" s="14" t="s">
        <v>641</v>
      </c>
      <c r="N296" s="15" t="s">
        <v>21</v>
      </c>
    </row>
    <row r="297" spans="1:14" ht="14.4" x14ac:dyDescent="0.3">
      <c r="A297" s="42"/>
      <c r="B297" s="39"/>
      <c r="C297" s="39"/>
      <c r="D297" s="39"/>
      <c r="E297" s="43"/>
      <c r="F297" s="39"/>
      <c r="G297" s="39"/>
      <c r="H297" s="40"/>
      <c r="I297" s="41"/>
      <c r="J297" s="41">
        <f t="shared" si="4"/>
        <v>182</v>
      </c>
      <c r="K297" s="37">
        <v>45834</v>
      </c>
      <c r="L297" s="38" t="s">
        <v>1295</v>
      </c>
      <c r="M297" s="14" t="s">
        <v>642</v>
      </c>
      <c r="N297" s="15" t="s">
        <v>21</v>
      </c>
    </row>
    <row r="298" spans="1:14" ht="14.4" x14ac:dyDescent="0.3">
      <c r="A298" s="42"/>
      <c r="B298" s="39"/>
      <c r="C298" s="39"/>
      <c r="D298" s="39"/>
      <c r="E298" s="43"/>
      <c r="F298" s="39"/>
      <c r="G298" s="39"/>
      <c r="H298" s="40"/>
      <c r="I298" s="41"/>
      <c r="J298" s="41">
        <f t="shared" si="4"/>
        <v>182</v>
      </c>
      <c r="K298" s="37">
        <v>45834</v>
      </c>
      <c r="L298" s="38" t="s">
        <v>1295</v>
      </c>
      <c r="M298" s="14" t="s">
        <v>643</v>
      </c>
      <c r="N298" s="15" t="s">
        <v>21</v>
      </c>
    </row>
    <row r="299" spans="1:14" ht="14.4" x14ac:dyDescent="0.3">
      <c r="A299" s="42"/>
      <c r="B299" s="39"/>
      <c r="C299" s="39"/>
      <c r="D299" s="39"/>
      <c r="E299" s="43"/>
      <c r="F299" s="39"/>
      <c r="G299" s="39"/>
      <c r="H299" s="40"/>
      <c r="I299" s="41"/>
      <c r="J299" s="41">
        <f t="shared" si="4"/>
        <v>182</v>
      </c>
      <c r="K299" s="37">
        <v>45834</v>
      </c>
      <c r="L299" s="38" t="s">
        <v>1295</v>
      </c>
      <c r="M299" s="14" t="s">
        <v>644</v>
      </c>
      <c r="N299" s="15" t="s">
        <v>21</v>
      </c>
    </row>
    <row r="300" spans="1:14" ht="14.4" x14ac:dyDescent="0.3">
      <c r="A300" s="42"/>
      <c r="B300" s="39"/>
      <c r="C300" s="39"/>
      <c r="D300" s="39"/>
      <c r="E300" s="43"/>
      <c r="F300" s="39"/>
      <c r="G300" s="39"/>
      <c r="H300" s="40"/>
      <c r="I300" s="41"/>
      <c r="J300" s="41">
        <f t="shared" si="4"/>
        <v>182</v>
      </c>
      <c r="K300" s="37">
        <v>45834</v>
      </c>
      <c r="L300" s="38" t="s">
        <v>1295</v>
      </c>
      <c r="M300" s="14" t="s">
        <v>645</v>
      </c>
      <c r="N300" s="15" t="s">
        <v>21</v>
      </c>
    </row>
    <row r="301" spans="1:14" ht="14.4" x14ac:dyDescent="0.3">
      <c r="A301" s="42"/>
      <c r="B301" s="39"/>
      <c r="C301" s="39"/>
      <c r="D301" s="39"/>
      <c r="E301" s="43"/>
      <c r="F301" s="39"/>
      <c r="G301" s="39"/>
      <c r="H301" s="40"/>
      <c r="I301" s="41"/>
      <c r="J301" s="41">
        <f t="shared" si="4"/>
        <v>182</v>
      </c>
      <c r="K301" s="37">
        <v>45839</v>
      </c>
      <c r="L301" s="38" t="s">
        <v>1296</v>
      </c>
      <c r="M301" s="14" t="s">
        <v>646</v>
      </c>
      <c r="N301" s="15" t="s">
        <v>21</v>
      </c>
    </row>
    <row r="302" spans="1:14" ht="14.4" x14ac:dyDescent="0.3">
      <c r="A302" s="42"/>
      <c r="B302" s="39"/>
      <c r="C302" s="39"/>
      <c r="D302" s="39"/>
      <c r="E302" s="43"/>
      <c r="F302" s="39"/>
      <c r="G302" s="39"/>
      <c r="H302" s="40"/>
      <c r="I302" s="41"/>
      <c r="J302" s="41">
        <f t="shared" si="4"/>
        <v>182</v>
      </c>
      <c r="K302" s="37">
        <v>45839</v>
      </c>
      <c r="L302" s="38" t="s">
        <v>1296</v>
      </c>
      <c r="M302" s="14" t="s">
        <v>647</v>
      </c>
      <c r="N302" s="15" t="s">
        <v>21</v>
      </c>
    </row>
    <row r="303" spans="1:14" ht="14.4" x14ac:dyDescent="0.3">
      <c r="A303" s="42"/>
      <c r="B303" s="39"/>
      <c r="C303" s="39"/>
      <c r="D303" s="39"/>
      <c r="E303" s="43"/>
      <c r="F303" s="39"/>
      <c r="G303" s="39"/>
      <c r="H303" s="40"/>
      <c r="I303" s="41"/>
      <c r="J303" s="41">
        <f t="shared" si="4"/>
        <v>182</v>
      </c>
      <c r="K303" s="37">
        <v>45839</v>
      </c>
      <c r="L303" s="38" t="s">
        <v>1296</v>
      </c>
      <c r="M303" s="14" t="s">
        <v>648</v>
      </c>
      <c r="N303" s="15" t="s">
        <v>21</v>
      </c>
    </row>
    <row r="304" spans="1:14" ht="14.4" x14ac:dyDescent="0.3">
      <c r="A304" s="42"/>
      <c r="B304" s="39"/>
      <c r="C304" s="39"/>
      <c r="D304" s="39"/>
      <c r="E304" s="43"/>
      <c r="F304" s="39"/>
      <c r="G304" s="39"/>
      <c r="H304" s="40"/>
      <c r="I304" s="41"/>
      <c r="J304" s="41">
        <f t="shared" si="4"/>
        <v>182</v>
      </c>
      <c r="K304" s="37">
        <v>45839</v>
      </c>
      <c r="L304" s="38" t="s">
        <v>1296</v>
      </c>
      <c r="M304" s="14" t="s">
        <v>649</v>
      </c>
      <c r="N304" s="15" t="s">
        <v>21</v>
      </c>
    </row>
    <row r="305" spans="1:14" ht="14.4" x14ac:dyDescent="0.3">
      <c r="A305" s="42"/>
      <c r="B305" s="39"/>
      <c r="C305" s="39"/>
      <c r="D305" s="39"/>
      <c r="E305" s="43"/>
      <c r="F305" s="39"/>
      <c r="G305" s="39"/>
      <c r="H305" s="40"/>
      <c r="I305" s="41"/>
      <c r="J305" s="41">
        <f t="shared" si="4"/>
        <v>182</v>
      </c>
      <c r="K305" s="37">
        <v>45839</v>
      </c>
      <c r="L305" s="38" t="s">
        <v>1296</v>
      </c>
      <c r="M305" s="14" t="s">
        <v>650</v>
      </c>
      <c r="N305" s="15" t="s">
        <v>21</v>
      </c>
    </row>
    <row r="306" spans="1:14" ht="14.4" x14ac:dyDescent="0.3">
      <c r="A306" s="42"/>
      <c r="B306" s="39"/>
      <c r="C306" s="39"/>
      <c r="D306" s="39"/>
      <c r="E306" s="43"/>
      <c r="F306" s="39"/>
      <c r="G306" s="39"/>
      <c r="H306" s="40"/>
      <c r="I306" s="41"/>
      <c r="J306" s="41">
        <f t="shared" si="4"/>
        <v>182</v>
      </c>
      <c r="K306" s="37">
        <v>45840</v>
      </c>
      <c r="L306" s="38" t="s">
        <v>1294</v>
      </c>
      <c r="M306" s="14" t="s">
        <v>651</v>
      </c>
      <c r="N306" s="15" t="s">
        <v>21</v>
      </c>
    </row>
    <row r="307" spans="1:14" ht="14.4" x14ac:dyDescent="0.3">
      <c r="A307" s="42"/>
      <c r="B307" s="39"/>
      <c r="C307" s="39"/>
      <c r="D307" s="39"/>
      <c r="E307" s="43"/>
      <c r="F307" s="39"/>
      <c r="G307" s="39"/>
      <c r="H307" s="40"/>
      <c r="I307" s="41"/>
      <c r="J307" s="41">
        <f t="shared" si="4"/>
        <v>182</v>
      </c>
      <c r="K307" s="37">
        <v>45840</v>
      </c>
      <c r="L307" s="38" t="s">
        <v>1294</v>
      </c>
      <c r="M307" s="14" t="s">
        <v>652</v>
      </c>
      <c r="N307" s="15" t="s">
        <v>21</v>
      </c>
    </row>
    <row r="308" spans="1:14" ht="14.4" x14ac:dyDescent="0.3">
      <c r="A308" s="42" t="s">
        <v>653</v>
      </c>
      <c r="B308" s="39" t="s">
        <v>654</v>
      </c>
      <c r="C308" s="39" t="s">
        <v>655</v>
      </c>
      <c r="D308" s="39" t="s">
        <v>656</v>
      </c>
      <c r="E308" s="43">
        <v>10</v>
      </c>
      <c r="F308" s="39" t="s">
        <v>18</v>
      </c>
      <c r="G308" s="39" t="s">
        <v>19</v>
      </c>
      <c r="H308" s="40">
        <v>45729</v>
      </c>
      <c r="I308" s="41">
        <v>45751</v>
      </c>
      <c r="J308" s="41">
        <f t="shared" si="4"/>
        <v>45934</v>
      </c>
      <c r="K308" s="37">
        <v>45840</v>
      </c>
      <c r="L308" s="38" t="s">
        <v>1294</v>
      </c>
      <c r="M308" s="14" t="s">
        <v>638</v>
      </c>
      <c r="N308" s="15" t="s">
        <v>21</v>
      </c>
    </row>
    <row r="309" spans="1:14" ht="14.4" x14ac:dyDescent="0.3">
      <c r="A309" s="42"/>
      <c r="B309" s="39"/>
      <c r="C309" s="39"/>
      <c r="D309" s="39"/>
      <c r="E309" s="43"/>
      <c r="F309" s="39"/>
      <c r="G309" s="39"/>
      <c r="H309" s="40"/>
      <c r="I309" s="41"/>
      <c r="J309" s="41">
        <f t="shared" si="4"/>
        <v>182</v>
      </c>
      <c r="K309" s="37">
        <v>45840</v>
      </c>
      <c r="L309" s="38" t="s">
        <v>1294</v>
      </c>
      <c r="M309" s="14" t="s">
        <v>639</v>
      </c>
      <c r="N309" s="15" t="s">
        <v>21</v>
      </c>
    </row>
    <row r="310" spans="1:14" ht="14.4" x14ac:dyDescent="0.3">
      <c r="A310" s="42"/>
      <c r="B310" s="39"/>
      <c r="C310" s="39"/>
      <c r="D310" s="39"/>
      <c r="E310" s="43"/>
      <c r="F310" s="39"/>
      <c r="G310" s="39"/>
      <c r="H310" s="40"/>
      <c r="I310" s="41"/>
      <c r="J310" s="41">
        <f t="shared" si="4"/>
        <v>182</v>
      </c>
      <c r="K310" s="37">
        <v>45834</v>
      </c>
      <c r="L310" s="38" t="s">
        <v>1295</v>
      </c>
      <c r="M310" s="14" t="s">
        <v>640</v>
      </c>
      <c r="N310" s="15" t="s">
        <v>21</v>
      </c>
    </row>
    <row r="311" spans="1:14" ht="14.4" x14ac:dyDescent="0.3">
      <c r="A311" s="42"/>
      <c r="B311" s="39"/>
      <c r="C311" s="39"/>
      <c r="D311" s="39"/>
      <c r="E311" s="43"/>
      <c r="F311" s="39"/>
      <c r="G311" s="39"/>
      <c r="H311" s="40"/>
      <c r="I311" s="41"/>
      <c r="J311" s="41">
        <f t="shared" si="4"/>
        <v>182</v>
      </c>
      <c r="K311" s="37">
        <v>45834</v>
      </c>
      <c r="L311" s="38" t="s">
        <v>1295</v>
      </c>
      <c r="M311" s="14" t="s">
        <v>641</v>
      </c>
      <c r="N311" s="15" t="s">
        <v>21</v>
      </c>
    </row>
    <row r="312" spans="1:14" ht="14.4" x14ac:dyDescent="0.3">
      <c r="A312" s="42"/>
      <c r="B312" s="39"/>
      <c r="C312" s="39"/>
      <c r="D312" s="39"/>
      <c r="E312" s="43"/>
      <c r="F312" s="39"/>
      <c r="G312" s="39"/>
      <c r="H312" s="40"/>
      <c r="I312" s="41"/>
      <c r="J312" s="41">
        <f t="shared" si="4"/>
        <v>182</v>
      </c>
      <c r="K312" s="37">
        <v>45834</v>
      </c>
      <c r="L312" s="38" t="s">
        <v>1295</v>
      </c>
      <c r="M312" s="14" t="s">
        <v>642</v>
      </c>
      <c r="N312" s="15" t="s">
        <v>21</v>
      </c>
    </row>
    <row r="313" spans="1:14" ht="14.4" x14ac:dyDescent="0.3">
      <c r="A313" s="42"/>
      <c r="B313" s="39"/>
      <c r="C313" s="39"/>
      <c r="D313" s="39"/>
      <c r="E313" s="43"/>
      <c r="F313" s="39"/>
      <c r="G313" s="39"/>
      <c r="H313" s="40"/>
      <c r="I313" s="41"/>
      <c r="J313" s="41">
        <f t="shared" si="4"/>
        <v>182</v>
      </c>
      <c r="K313" s="37">
        <v>45834</v>
      </c>
      <c r="L313" s="38" t="s">
        <v>1295</v>
      </c>
      <c r="M313" s="14" t="s">
        <v>643</v>
      </c>
      <c r="N313" s="15" t="s">
        <v>21</v>
      </c>
    </row>
    <row r="314" spans="1:14" ht="14.4" x14ac:dyDescent="0.3">
      <c r="A314" s="42"/>
      <c r="B314" s="39"/>
      <c r="C314" s="39"/>
      <c r="D314" s="39"/>
      <c r="E314" s="43"/>
      <c r="F314" s="39"/>
      <c r="G314" s="39"/>
      <c r="H314" s="40"/>
      <c r="I314" s="41"/>
      <c r="J314" s="41">
        <f t="shared" si="4"/>
        <v>182</v>
      </c>
      <c r="K314" s="37">
        <v>45834</v>
      </c>
      <c r="L314" s="38" t="s">
        <v>1295</v>
      </c>
      <c r="M314" s="14" t="s">
        <v>644</v>
      </c>
      <c r="N314" s="15" t="s">
        <v>21</v>
      </c>
    </row>
    <row r="315" spans="1:14" ht="14.4" x14ac:dyDescent="0.3">
      <c r="A315" s="42"/>
      <c r="B315" s="39"/>
      <c r="C315" s="39"/>
      <c r="D315" s="39"/>
      <c r="E315" s="43"/>
      <c r="F315" s="39"/>
      <c r="G315" s="39"/>
      <c r="H315" s="40"/>
      <c r="I315" s="41"/>
      <c r="J315" s="41">
        <f t="shared" si="4"/>
        <v>182</v>
      </c>
      <c r="K315" s="37">
        <v>45834</v>
      </c>
      <c r="L315" s="38" t="s">
        <v>1295</v>
      </c>
      <c r="M315" s="14" t="s">
        <v>645</v>
      </c>
      <c r="N315" s="15" t="s">
        <v>21</v>
      </c>
    </row>
    <row r="316" spans="1:14" ht="14.4" x14ac:dyDescent="0.3">
      <c r="A316" s="42"/>
      <c r="B316" s="39"/>
      <c r="C316" s="39"/>
      <c r="D316" s="39"/>
      <c r="E316" s="43"/>
      <c r="F316" s="39"/>
      <c r="G316" s="39"/>
      <c r="H316" s="40"/>
      <c r="I316" s="41"/>
      <c r="J316" s="41">
        <f t="shared" si="4"/>
        <v>182</v>
      </c>
      <c r="K316" s="37">
        <v>45839</v>
      </c>
      <c r="L316" s="38" t="s">
        <v>1296</v>
      </c>
      <c r="M316" s="14" t="s">
        <v>646</v>
      </c>
      <c r="N316" s="15" t="s">
        <v>21</v>
      </c>
    </row>
    <row r="317" spans="1:14" ht="14.4" hidden="1" x14ac:dyDescent="0.3">
      <c r="A317" s="42" t="s">
        <v>653</v>
      </c>
      <c r="B317" s="39" t="s">
        <v>654</v>
      </c>
      <c r="C317" s="39" t="s">
        <v>657</v>
      </c>
      <c r="D317" s="39" t="s">
        <v>253</v>
      </c>
      <c r="E317" s="43">
        <v>1</v>
      </c>
      <c r="F317" s="39" t="s">
        <v>18</v>
      </c>
      <c r="G317" s="39" t="s">
        <v>19</v>
      </c>
      <c r="H317" s="40">
        <v>45729</v>
      </c>
      <c r="I317" s="41">
        <v>45751</v>
      </c>
      <c r="J317" s="41">
        <f t="shared" si="4"/>
        <v>45934</v>
      </c>
      <c r="K317" s="38" t="s">
        <v>34</v>
      </c>
      <c r="L317" s="38" t="s">
        <v>1258</v>
      </c>
      <c r="M317" s="14" t="s">
        <v>658</v>
      </c>
      <c r="N317" s="15" t="s">
        <v>36</v>
      </c>
    </row>
    <row r="318" spans="1:14" ht="14.4" hidden="1" x14ac:dyDescent="0.3">
      <c r="A318" s="42"/>
      <c r="B318" s="39"/>
      <c r="C318" s="39"/>
      <c r="D318" s="39"/>
      <c r="E318" s="43"/>
      <c r="F318" s="39"/>
      <c r="G318" s="39"/>
      <c r="H318" s="40"/>
      <c r="I318" s="41"/>
      <c r="J318" s="41">
        <f t="shared" si="4"/>
        <v>182</v>
      </c>
      <c r="K318" s="38" t="s">
        <v>34</v>
      </c>
      <c r="L318" s="38" t="s">
        <v>1258</v>
      </c>
      <c r="M318" s="14" t="s">
        <v>659</v>
      </c>
      <c r="N318" s="15" t="s">
        <v>36</v>
      </c>
    </row>
    <row r="319" spans="1:14" ht="14.4" x14ac:dyDescent="0.3">
      <c r="A319" s="42" t="s">
        <v>660</v>
      </c>
      <c r="B319" s="39" t="s">
        <v>661</v>
      </c>
      <c r="C319" s="39" t="s">
        <v>662</v>
      </c>
      <c r="D319" s="39" t="s">
        <v>341</v>
      </c>
      <c r="E319" s="43">
        <v>1</v>
      </c>
      <c r="F319" s="39" t="s">
        <v>18</v>
      </c>
      <c r="G319" s="39" t="s">
        <v>19</v>
      </c>
      <c r="H319" s="40">
        <v>45729</v>
      </c>
      <c r="I319" s="41">
        <v>45751</v>
      </c>
      <c r="J319" s="41">
        <f t="shared" si="4"/>
        <v>45934</v>
      </c>
      <c r="K319" s="37">
        <v>45853</v>
      </c>
      <c r="L319" s="38" t="s">
        <v>1279</v>
      </c>
      <c r="M319" s="14" t="s">
        <v>663</v>
      </c>
      <c r="N319" s="15" t="s">
        <v>21</v>
      </c>
    </row>
    <row r="320" spans="1:14" ht="14.4" x14ac:dyDescent="0.3">
      <c r="A320" s="42"/>
      <c r="B320" s="39"/>
      <c r="C320" s="39"/>
      <c r="D320" s="39"/>
      <c r="E320" s="43"/>
      <c r="F320" s="39"/>
      <c r="G320" s="39"/>
      <c r="H320" s="40"/>
      <c r="I320" s="41"/>
      <c r="J320" s="41">
        <f t="shared" si="4"/>
        <v>182</v>
      </c>
      <c r="K320" s="37">
        <v>45853</v>
      </c>
      <c r="L320" s="38" t="s">
        <v>1279</v>
      </c>
      <c r="M320" s="14" t="s">
        <v>664</v>
      </c>
      <c r="N320" s="15" t="s">
        <v>21</v>
      </c>
    </row>
    <row r="321" spans="1:14" ht="14.4" hidden="1" x14ac:dyDescent="0.3">
      <c r="A321" s="42"/>
      <c r="B321" s="39"/>
      <c r="C321" s="39"/>
      <c r="D321" s="39"/>
      <c r="E321" s="43"/>
      <c r="F321" s="39"/>
      <c r="G321" s="39"/>
      <c r="H321" s="40"/>
      <c r="I321" s="41"/>
      <c r="J321" s="41">
        <f t="shared" si="4"/>
        <v>182</v>
      </c>
      <c r="K321" s="37">
        <v>45794</v>
      </c>
      <c r="L321" s="38" t="s">
        <v>1279</v>
      </c>
      <c r="M321" s="28" t="s">
        <v>665</v>
      </c>
      <c r="N321" s="15" t="s">
        <v>73</v>
      </c>
    </row>
    <row r="322" spans="1:14" ht="14.4" x14ac:dyDescent="0.3">
      <c r="A322" s="42"/>
      <c r="B322" s="39"/>
      <c r="C322" s="39"/>
      <c r="D322" s="39"/>
      <c r="E322" s="43"/>
      <c r="F322" s="39"/>
      <c r="G322" s="39"/>
      <c r="H322" s="40"/>
      <c r="I322" s="41"/>
      <c r="J322" s="41">
        <f t="shared" si="4"/>
        <v>182</v>
      </c>
      <c r="K322" s="37">
        <v>45853</v>
      </c>
      <c r="L322" s="38" t="s">
        <v>1279</v>
      </c>
      <c r="M322" s="14" t="s">
        <v>666</v>
      </c>
      <c r="N322" s="15" t="s">
        <v>21</v>
      </c>
    </row>
    <row r="323" spans="1:14" ht="14.4" x14ac:dyDescent="0.3">
      <c r="A323" s="42"/>
      <c r="B323" s="39"/>
      <c r="C323" s="39"/>
      <c r="D323" s="39"/>
      <c r="E323" s="43"/>
      <c r="F323" s="39"/>
      <c r="G323" s="39"/>
      <c r="H323" s="40"/>
      <c r="I323" s="41"/>
      <c r="J323" s="41">
        <f t="shared" si="4"/>
        <v>182</v>
      </c>
      <c r="K323" s="37">
        <v>45853</v>
      </c>
      <c r="L323" s="38" t="s">
        <v>1279</v>
      </c>
      <c r="M323" s="14" t="s">
        <v>667</v>
      </c>
      <c r="N323" s="15" t="s">
        <v>21</v>
      </c>
    </row>
    <row r="324" spans="1:14" ht="14.4" x14ac:dyDescent="0.3">
      <c r="A324" s="42"/>
      <c r="B324" s="39"/>
      <c r="C324" s="39"/>
      <c r="D324" s="39"/>
      <c r="E324" s="43"/>
      <c r="F324" s="39"/>
      <c r="G324" s="39"/>
      <c r="H324" s="40"/>
      <c r="I324" s="41"/>
      <c r="J324" s="41">
        <f t="shared" si="4"/>
        <v>182</v>
      </c>
      <c r="K324" s="37">
        <v>45853</v>
      </c>
      <c r="L324" s="38" t="s">
        <v>1279</v>
      </c>
      <c r="M324" s="14" t="s">
        <v>668</v>
      </c>
      <c r="N324" s="15" t="s">
        <v>21</v>
      </c>
    </row>
    <row r="325" spans="1:14" ht="14.4" hidden="1" x14ac:dyDescent="0.3">
      <c r="A325" s="9" t="s">
        <v>669</v>
      </c>
      <c r="B325" s="25" t="s">
        <v>670</v>
      </c>
      <c r="C325" s="26" t="s">
        <v>671</v>
      </c>
      <c r="D325" s="10" t="s">
        <v>123</v>
      </c>
      <c r="E325" s="11">
        <v>4</v>
      </c>
      <c r="F325" s="12" t="s">
        <v>18</v>
      </c>
      <c r="G325" s="12" t="s">
        <v>19</v>
      </c>
      <c r="H325" s="13">
        <v>45729</v>
      </c>
      <c r="I325" s="22">
        <v>45751</v>
      </c>
      <c r="J325" s="22">
        <f t="shared" si="4"/>
        <v>45934</v>
      </c>
      <c r="K325" s="38" t="s">
        <v>34</v>
      </c>
      <c r="L325" s="38" t="s">
        <v>1245</v>
      </c>
      <c r="M325" s="14" t="s">
        <v>672</v>
      </c>
      <c r="N325" s="15" t="s">
        <v>36</v>
      </c>
    </row>
    <row r="326" spans="1:14" ht="14.4" hidden="1" x14ac:dyDescent="0.3">
      <c r="A326" s="42" t="s">
        <v>673</v>
      </c>
      <c r="B326" s="39" t="s">
        <v>674</v>
      </c>
      <c r="C326" s="39" t="s">
        <v>675</v>
      </c>
      <c r="D326" s="39" t="s">
        <v>375</v>
      </c>
      <c r="E326" s="43">
        <v>8</v>
      </c>
      <c r="F326" s="39" t="s">
        <v>18</v>
      </c>
      <c r="G326" s="39" t="s">
        <v>19</v>
      </c>
      <c r="H326" s="40">
        <v>45730</v>
      </c>
      <c r="I326" s="41">
        <v>45754</v>
      </c>
      <c r="J326" s="41">
        <f t="shared" si="4"/>
        <v>45937</v>
      </c>
      <c r="K326" s="38" t="s">
        <v>34</v>
      </c>
      <c r="L326" s="38" t="s">
        <v>1251</v>
      </c>
      <c r="M326" s="14" t="s">
        <v>376</v>
      </c>
      <c r="N326" s="15" t="s">
        <v>36</v>
      </c>
    </row>
    <row r="327" spans="1:14" ht="14.4" hidden="1" x14ac:dyDescent="0.3">
      <c r="A327" s="42"/>
      <c r="B327" s="39"/>
      <c r="C327" s="39"/>
      <c r="D327" s="39"/>
      <c r="E327" s="43"/>
      <c r="F327" s="39"/>
      <c r="G327" s="39"/>
      <c r="H327" s="40"/>
      <c r="I327" s="41"/>
      <c r="J327" s="41">
        <f t="shared" si="4"/>
        <v>182</v>
      </c>
      <c r="K327" s="38" t="s">
        <v>34</v>
      </c>
      <c r="L327" s="38" t="s">
        <v>1251</v>
      </c>
      <c r="M327" s="14" t="s">
        <v>420</v>
      </c>
      <c r="N327" s="15" t="s">
        <v>36</v>
      </c>
    </row>
    <row r="328" spans="1:14" ht="14.4" hidden="1" x14ac:dyDescent="0.3">
      <c r="A328" s="42"/>
      <c r="B328" s="39"/>
      <c r="C328" s="39"/>
      <c r="D328" s="39"/>
      <c r="E328" s="43"/>
      <c r="F328" s="39"/>
      <c r="G328" s="39"/>
      <c r="H328" s="40"/>
      <c r="I328" s="41"/>
      <c r="J328" s="41">
        <f t="shared" ref="J328:J391" si="5">EDATE(I328,6)</f>
        <v>182</v>
      </c>
      <c r="K328" s="38" t="s">
        <v>34</v>
      </c>
      <c r="L328" s="38" t="s">
        <v>1251</v>
      </c>
      <c r="M328" s="14" t="s">
        <v>421</v>
      </c>
      <c r="N328" s="15" t="s">
        <v>36</v>
      </c>
    </row>
    <row r="329" spans="1:14" ht="14.4" x14ac:dyDescent="0.3">
      <c r="A329" s="17" t="s">
        <v>676</v>
      </c>
      <c r="B329" s="18" t="s">
        <v>677</v>
      </c>
      <c r="C329" s="19" t="s">
        <v>678</v>
      </c>
      <c r="D329" s="20" t="s">
        <v>504</v>
      </c>
      <c r="E329" s="21">
        <v>9</v>
      </c>
      <c r="F329" s="12" t="s">
        <v>18</v>
      </c>
      <c r="G329" s="12" t="s">
        <v>19</v>
      </c>
      <c r="H329" s="13">
        <v>45730</v>
      </c>
      <c r="I329" s="22">
        <v>45754</v>
      </c>
      <c r="J329" s="22">
        <f t="shared" si="5"/>
        <v>45937</v>
      </c>
      <c r="K329" s="37">
        <v>45845</v>
      </c>
      <c r="L329" s="38" t="s">
        <v>1297</v>
      </c>
      <c r="M329" s="14" t="s">
        <v>679</v>
      </c>
      <c r="N329" s="15" t="s">
        <v>21</v>
      </c>
    </row>
    <row r="330" spans="1:14" ht="14.4" hidden="1" x14ac:dyDescent="0.3">
      <c r="A330" s="17" t="s">
        <v>680</v>
      </c>
      <c r="B330" s="18" t="s">
        <v>681</v>
      </c>
      <c r="C330" s="19" t="s">
        <v>682</v>
      </c>
      <c r="D330" s="20" t="s">
        <v>304</v>
      </c>
      <c r="E330" s="21">
        <v>6</v>
      </c>
      <c r="F330" s="12" t="s">
        <v>18</v>
      </c>
      <c r="G330" s="12" t="s">
        <v>19</v>
      </c>
      <c r="H330" s="13">
        <v>45733</v>
      </c>
      <c r="I330" s="22">
        <v>45755</v>
      </c>
      <c r="J330" s="22">
        <f t="shared" si="5"/>
        <v>45938</v>
      </c>
      <c r="K330" s="38" t="s">
        <v>34</v>
      </c>
      <c r="L330" s="38" t="s">
        <v>1250</v>
      </c>
      <c r="M330" s="14" t="s">
        <v>683</v>
      </c>
      <c r="N330" s="15" t="s">
        <v>36</v>
      </c>
    </row>
    <row r="331" spans="1:14" ht="14.4" hidden="1" x14ac:dyDescent="0.3">
      <c r="A331" s="9" t="s">
        <v>684</v>
      </c>
      <c r="B331" s="25" t="s">
        <v>685</v>
      </c>
      <c r="C331" s="26" t="s">
        <v>686</v>
      </c>
      <c r="D331" s="10" t="s">
        <v>687</v>
      </c>
      <c r="E331" s="11">
        <v>6</v>
      </c>
      <c r="F331" s="12" t="s">
        <v>18</v>
      </c>
      <c r="G331" s="12" t="s">
        <v>19</v>
      </c>
      <c r="H331" s="13">
        <v>45733</v>
      </c>
      <c r="I331" s="22">
        <v>45755</v>
      </c>
      <c r="J331" s="22">
        <f t="shared" si="5"/>
        <v>45938</v>
      </c>
      <c r="K331" s="38" t="s">
        <v>34</v>
      </c>
      <c r="L331" s="38" t="s">
        <v>1250</v>
      </c>
      <c r="M331" s="14" t="s">
        <v>688</v>
      </c>
      <c r="N331" s="15" t="s">
        <v>36</v>
      </c>
    </row>
    <row r="332" spans="1:14" ht="14.4" x14ac:dyDescent="0.3">
      <c r="A332" s="42" t="s">
        <v>689</v>
      </c>
      <c r="B332" s="39" t="s">
        <v>690</v>
      </c>
      <c r="C332" s="39" t="s">
        <v>691</v>
      </c>
      <c r="D332" s="39" t="s">
        <v>692</v>
      </c>
      <c r="E332" s="43">
        <v>9</v>
      </c>
      <c r="F332" s="39" t="s">
        <v>18</v>
      </c>
      <c r="G332" s="39" t="s">
        <v>19</v>
      </c>
      <c r="H332" s="40">
        <v>45733</v>
      </c>
      <c r="I332" s="41">
        <v>45755</v>
      </c>
      <c r="J332" s="41">
        <f t="shared" si="5"/>
        <v>45938</v>
      </c>
      <c r="K332" s="37">
        <v>45849</v>
      </c>
      <c r="L332" s="38" t="s">
        <v>1283</v>
      </c>
      <c r="M332" s="14" t="s">
        <v>693</v>
      </c>
      <c r="N332" s="15" t="s">
        <v>21</v>
      </c>
    </row>
    <row r="333" spans="1:14" ht="14.4" x14ac:dyDescent="0.3">
      <c r="A333" s="42"/>
      <c r="B333" s="39"/>
      <c r="C333" s="39"/>
      <c r="D333" s="39"/>
      <c r="E333" s="43"/>
      <c r="F333" s="39"/>
      <c r="G333" s="39"/>
      <c r="H333" s="40"/>
      <c r="I333" s="41"/>
      <c r="J333" s="41">
        <f t="shared" si="5"/>
        <v>182</v>
      </c>
      <c r="K333" s="37">
        <v>45845</v>
      </c>
      <c r="L333" s="38" t="s">
        <v>1297</v>
      </c>
      <c r="M333" s="14" t="s">
        <v>694</v>
      </c>
      <c r="N333" s="15" t="s">
        <v>21</v>
      </c>
    </row>
    <row r="334" spans="1:14" ht="14.4" hidden="1" x14ac:dyDescent="0.3">
      <c r="A334" s="42" t="s">
        <v>695</v>
      </c>
      <c r="B334" s="39" t="s">
        <v>696</v>
      </c>
      <c r="C334" s="39" t="s">
        <v>697</v>
      </c>
      <c r="D334" s="39" t="s">
        <v>67</v>
      </c>
      <c r="E334" s="43">
        <v>5</v>
      </c>
      <c r="F334" s="39" t="s">
        <v>18</v>
      </c>
      <c r="G334" s="39" t="s">
        <v>19</v>
      </c>
      <c r="H334" s="40">
        <v>45734</v>
      </c>
      <c r="I334" s="41">
        <v>45756</v>
      </c>
      <c r="J334" s="41">
        <f t="shared" si="5"/>
        <v>45939</v>
      </c>
      <c r="K334" s="38" t="s">
        <v>34</v>
      </c>
      <c r="L334" s="38" t="s">
        <v>1251</v>
      </c>
      <c r="M334" s="14" t="s">
        <v>698</v>
      </c>
      <c r="N334" s="15" t="s">
        <v>36</v>
      </c>
    </row>
    <row r="335" spans="1:14" ht="14.4" hidden="1" x14ac:dyDescent="0.3">
      <c r="A335" s="42"/>
      <c r="B335" s="39"/>
      <c r="C335" s="39"/>
      <c r="D335" s="39"/>
      <c r="E335" s="43"/>
      <c r="F335" s="39"/>
      <c r="G335" s="39"/>
      <c r="H335" s="40"/>
      <c r="I335" s="41"/>
      <c r="J335" s="41">
        <f t="shared" si="5"/>
        <v>182</v>
      </c>
      <c r="K335" s="38" t="s">
        <v>34</v>
      </c>
      <c r="L335" s="38" t="s">
        <v>1251</v>
      </c>
      <c r="M335" s="14" t="s">
        <v>699</v>
      </c>
      <c r="N335" s="15" t="s">
        <v>36</v>
      </c>
    </row>
    <row r="336" spans="1:14" ht="14.4" hidden="1" x14ac:dyDescent="0.3">
      <c r="A336" s="42"/>
      <c r="B336" s="39"/>
      <c r="C336" s="39"/>
      <c r="D336" s="39"/>
      <c r="E336" s="43"/>
      <c r="F336" s="39"/>
      <c r="G336" s="39"/>
      <c r="H336" s="40"/>
      <c r="I336" s="41"/>
      <c r="J336" s="41">
        <f t="shared" si="5"/>
        <v>182</v>
      </c>
      <c r="K336" s="38" t="s">
        <v>34</v>
      </c>
      <c r="L336" s="38" t="s">
        <v>1251</v>
      </c>
      <c r="M336" s="14" t="s">
        <v>700</v>
      </c>
      <c r="N336" s="15" t="s">
        <v>36</v>
      </c>
    </row>
    <row r="337" spans="1:14" ht="14.4" hidden="1" x14ac:dyDescent="0.3">
      <c r="A337" s="42"/>
      <c r="B337" s="39"/>
      <c r="C337" s="39"/>
      <c r="D337" s="39"/>
      <c r="E337" s="43"/>
      <c r="F337" s="39"/>
      <c r="G337" s="39"/>
      <c r="H337" s="40"/>
      <c r="I337" s="41"/>
      <c r="J337" s="41">
        <f t="shared" si="5"/>
        <v>182</v>
      </c>
      <c r="K337" s="38" t="s">
        <v>34</v>
      </c>
      <c r="L337" s="38" t="s">
        <v>1251</v>
      </c>
      <c r="M337" s="14" t="s">
        <v>701</v>
      </c>
      <c r="N337" s="15" t="s">
        <v>36</v>
      </c>
    </row>
    <row r="338" spans="1:14" ht="14.4" hidden="1" x14ac:dyDescent="0.3">
      <c r="A338" s="17" t="s">
        <v>702</v>
      </c>
      <c r="B338" s="18" t="s">
        <v>703</v>
      </c>
      <c r="C338" s="19" t="s">
        <v>704</v>
      </c>
      <c r="D338" s="20" t="s">
        <v>705</v>
      </c>
      <c r="E338" s="21">
        <v>2</v>
      </c>
      <c r="F338" s="12" t="s">
        <v>18</v>
      </c>
      <c r="G338" s="12" t="s">
        <v>19</v>
      </c>
      <c r="H338" s="13">
        <v>45735</v>
      </c>
      <c r="I338" s="22">
        <v>45757</v>
      </c>
      <c r="J338" s="22">
        <f t="shared" si="5"/>
        <v>45940</v>
      </c>
      <c r="K338" s="38" t="s">
        <v>34</v>
      </c>
      <c r="L338" s="38" t="s">
        <v>1258</v>
      </c>
      <c r="M338" s="14" t="s">
        <v>706</v>
      </c>
      <c r="N338" s="15" t="s">
        <v>36</v>
      </c>
    </row>
    <row r="339" spans="1:14" ht="14.4" hidden="1" x14ac:dyDescent="0.3">
      <c r="A339" s="17" t="s">
        <v>707</v>
      </c>
      <c r="B339" s="18" t="s">
        <v>708</v>
      </c>
      <c r="C339" s="19" t="s">
        <v>709</v>
      </c>
      <c r="D339" s="20" t="s">
        <v>710</v>
      </c>
      <c r="E339" s="21">
        <v>3</v>
      </c>
      <c r="F339" s="12" t="s">
        <v>18</v>
      </c>
      <c r="G339" s="12" t="s">
        <v>19</v>
      </c>
      <c r="H339" s="13">
        <v>45736</v>
      </c>
      <c r="I339" s="22">
        <v>45758</v>
      </c>
      <c r="J339" s="22">
        <f t="shared" si="5"/>
        <v>45941</v>
      </c>
      <c r="K339" s="38" t="s">
        <v>34</v>
      </c>
      <c r="L339" s="38" t="s">
        <v>1258</v>
      </c>
      <c r="M339" s="14" t="s">
        <v>711</v>
      </c>
      <c r="N339" s="15" t="s">
        <v>36</v>
      </c>
    </row>
    <row r="340" spans="1:14" ht="14.4" hidden="1" x14ac:dyDescent="0.3">
      <c r="A340" s="17" t="s">
        <v>712</v>
      </c>
      <c r="B340" s="18" t="s">
        <v>713</v>
      </c>
      <c r="C340" s="19" t="s">
        <v>714</v>
      </c>
      <c r="D340" s="20" t="s">
        <v>258</v>
      </c>
      <c r="E340" s="21">
        <v>10</v>
      </c>
      <c r="F340" s="12" t="s">
        <v>18</v>
      </c>
      <c r="G340" s="12" t="s">
        <v>19</v>
      </c>
      <c r="H340" s="13">
        <v>45736</v>
      </c>
      <c r="I340" s="22">
        <v>45758</v>
      </c>
      <c r="J340" s="22">
        <f t="shared" si="5"/>
        <v>45941</v>
      </c>
      <c r="K340" s="38" t="s">
        <v>43</v>
      </c>
      <c r="L340" s="38" t="s">
        <v>716</v>
      </c>
      <c r="M340" s="28" t="s">
        <v>715</v>
      </c>
      <c r="N340" s="15" t="s">
        <v>716</v>
      </c>
    </row>
    <row r="341" spans="1:14" ht="14.4" hidden="1" x14ac:dyDescent="0.3">
      <c r="A341" s="9" t="s">
        <v>717</v>
      </c>
      <c r="B341" s="25" t="s">
        <v>486</v>
      </c>
      <c r="C341" s="26" t="s">
        <v>718</v>
      </c>
      <c r="D341" s="10" t="s">
        <v>488</v>
      </c>
      <c r="E341" s="11">
        <v>2</v>
      </c>
      <c r="F341" s="12" t="s">
        <v>18</v>
      </c>
      <c r="G341" s="12" t="s">
        <v>19</v>
      </c>
      <c r="H341" s="13">
        <v>45736</v>
      </c>
      <c r="I341" s="22">
        <v>45758</v>
      </c>
      <c r="J341" s="22">
        <f t="shared" si="5"/>
        <v>45941</v>
      </c>
      <c r="K341" s="38" t="s">
        <v>34</v>
      </c>
      <c r="L341" s="38" t="s">
        <v>1258</v>
      </c>
      <c r="M341" s="14" t="s">
        <v>719</v>
      </c>
      <c r="N341" s="15" t="s">
        <v>36</v>
      </c>
    </row>
    <row r="342" spans="1:14" ht="14.4" x14ac:dyDescent="0.3">
      <c r="A342" s="42" t="s">
        <v>720</v>
      </c>
      <c r="B342" s="39" t="s">
        <v>721</v>
      </c>
      <c r="C342" s="39" t="s">
        <v>722</v>
      </c>
      <c r="D342" s="39" t="s">
        <v>723</v>
      </c>
      <c r="E342" s="43">
        <v>7</v>
      </c>
      <c r="F342" s="39" t="s">
        <v>18</v>
      </c>
      <c r="G342" s="39" t="s">
        <v>19</v>
      </c>
      <c r="H342" s="40">
        <v>45737</v>
      </c>
      <c r="I342" s="41">
        <v>45761</v>
      </c>
      <c r="J342" s="41">
        <f t="shared" si="5"/>
        <v>45944</v>
      </c>
      <c r="K342" s="37">
        <v>45812</v>
      </c>
      <c r="L342" s="38" t="s">
        <v>1298</v>
      </c>
      <c r="M342" s="14" t="s">
        <v>724</v>
      </c>
      <c r="N342" s="15" t="s">
        <v>21</v>
      </c>
    </row>
    <row r="343" spans="1:14" ht="14.4" x14ac:dyDescent="0.3">
      <c r="A343" s="42"/>
      <c r="B343" s="39"/>
      <c r="C343" s="39"/>
      <c r="D343" s="39"/>
      <c r="E343" s="43"/>
      <c r="F343" s="39"/>
      <c r="G343" s="39"/>
      <c r="H343" s="40"/>
      <c r="I343" s="41"/>
      <c r="J343" s="41">
        <f t="shared" si="5"/>
        <v>182</v>
      </c>
      <c r="K343" s="37">
        <v>45812</v>
      </c>
      <c r="L343" s="38" t="s">
        <v>1298</v>
      </c>
      <c r="M343" s="14" t="s">
        <v>725</v>
      </c>
      <c r="N343" s="15" t="s">
        <v>21</v>
      </c>
    </row>
    <row r="344" spans="1:14" ht="14.4" x14ac:dyDescent="0.3">
      <c r="A344" s="42"/>
      <c r="B344" s="39"/>
      <c r="C344" s="39"/>
      <c r="D344" s="39"/>
      <c r="E344" s="43"/>
      <c r="F344" s="39"/>
      <c r="G344" s="39"/>
      <c r="H344" s="40"/>
      <c r="I344" s="41"/>
      <c r="J344" s="41">
        <f t="shared" si="5"/>
        <v>182</v>
      </c>
      <c r="K344" s="37">
        <v>45811</v>
      </c>
      <c r="L344" s="38" t="s">
        <v>1299</v>
      </c>
      <c r="M344" s="14" t="s">
        <v>726</v>
      </c>
      <c r="N344" s="15" t="s">
        <v>21</v>
      </c>
    </row>
    <row r="345" spans="1:14" ht="14.4" x14ac:dyDescent="0.3">
      <c r="A345" s="42"/>
      <c r="B345" s="39"/>
      <c r="C345" s="39"/>
      <c r="D345" s="39"/>
      <c r="E345" s="43"/>
      <c r="F345" s="39"/>
      <c r="G345" s="39"/>
      <c r="H345" s="40"/>
      <c r="I345" s="41"/>
      <c r="J345" s="41">
        <f t="shared" si="5"/>
        <v>182</v>
      </c>
      <c r="K345" s="37">
        <v>45811</v>
      </c>
      <c r="L345" s="38" t="s">
        <v>1299</v>
      </c>
      <c r="M345" s="14" t="s">
        <v>727</v>
      </c>
      <c r="N345" s="15" t="s">
        <v>21</v>
      </c>
    </row>
    <row r="346" spans="1:14" ht="14.4" x14ac:dyDescent="0.3">
      <c r="A346" s="17" t="s">
        <v>728</v>
      </c>
      <c r="B346" s="18" t="s">
        <v>729</v>
      </c>
      <c r="C346" s="19" t="s">
        <v>730</v>
      </c>
      <c r="D346" s="20" t="s">
        <v>91</v>
      </c>
      <c r="E346" s="21">
        <v>7</v>
      </c>
      <c r="F346" s="12" t="s">
        <v>18</v>
      </c>
      <c r="G346" s="12" t="s">
        <v>19</v>
      </c>
      <c r="H346" s="13">
        <v>45741</v>
      </c>
      <c r="I346" s="22">
        <v>45762</v>
      </c>
      <c r="J346" s="22">
        <f t="shared" si="5"/>
        <v>45945</v>
      </c>
      <c r="K346" s="37">
        <v>45820</v>
      </c>
      <c r="L346" s="38" t="s">
        <v>1282</v>
      </c>
      <c r="M346" s="14" t="s">
        <v>731</v>
      </c>
      <c r="N346" s="15" t="s">
        <v>21</v>
      </c>
    </row>
    <row r="347" spans="1:14" ht="14.4" x14ac:dyDescent="0.3">
      <c r="A347" s="17" t="s">
        <v>732</v>
      </c>
      <c r="B347" s="18" t="s">
        <v>733</v>
      </c>
      <c r="C347" s="19" t="s">
        <v>734</v>
      </c>
      <c r="D347" s="20" t="s">
        <v>735</v>
      </c>
      <c r="E347" s="21">
        <v>5</v>
      </c>
      <c r="F347" s="12" t="s">
        <v>18</v>
      </c>
      <c r="G347" s="12" t="s">
        <v>19</v>
      </c>
      <c r="H347" s="13">
        <v>45741</v>
      </c>
      <c r="I347" s="22">
        <v>45762</v>
      </c>
      <c r="J347" s="22">
        <f t="shared" si="5"/>
        <v>45945</v>
      </c>
      <c r="K347" s="37">
        <v>45827</v>
      </c>
      <c r="L347" s="38" t="s">
        <v>1300</v>
      </c>
      <c r="M347" s="14" t="s">
        <v>736</v>
      </c>
      <c r="N347" s="15" t="s">
        <v>21</v>
      </c>
    </row>
    <row r="348" spans="1:14" ht="14.4" x14ac:dyDescent="0.3">
      <c r="A348" s="17" t="s">
        <v>737</v>
      </c>
      <c r="B348" s="18" t="s">
        <v>738</v>
      </c>
      <c r="C348" s="19" t="s">
        <v>739</v>
      </c>
      <c r="D348" s="20" t="s">
        <v>17</v>
      </c>
      <c r="E348" s="21">
        <v>1</v>
      </c>
      <c r="F348" s="12" t="s">
        <v>18</v>
      </c>
      <c r="G348" s="12" t="s">
        <v>19</v>
      </c>
      <c r="H348" s="13">
        <v>45742</v>
      </c>
      <c r="I348" s="22">
        <v>45763</v>
      </c>
      <c r="J348" s="22">
        <f t="shared" si="5"/>
        <v>45946</v>
      </c>
      <c r="K348" s="38" t="s">
        <v>43</v>
      </c>
      <c r="L348" s="38" t="s">
        <v>1301</v>
      </c>
      <c r="M348" s="14" t="s">
        <v>740</v>
      </c>
      <c r="N348" s="15" t="s">
        <v>21</v>
      </c>
    </row>
    <row r="349" spans="1:14" ht="14.4" x14ac:dyDescent="0.3">
      <c r="A349" s="17" t="s">
        <v>741</v>
      </c>
      <c r="B349" s="18" t="s">
        <v>742</v>
      </c>
      <c r="C349" s="19" t="s">
        <v>743</v>
      </c>
      <c r="D349" s="20" t="s">
        <v>341</v>
      </c>
      <c r="E349" s="21">
        <v>1</v>
      </c>
      <c r="F349" s="12" t="s">
        <v>18</v>
      </c>
      <c r="G349" s="12" t="s">
        <v>19</v>
      </c>
      <c r="H349" s="13">
        <v>45742</v>
      </c>
      <c r="I349" s="22">
        <v>45763</v>
      </c>
      <c r="J349" s="22">
        <f t="shared" si="5"/>
        <v>45946</v>
      </c>
      <c r="K349" s="37">
        <v>45853</v>
      </c>
      <c r="L349" s="38" t="s">
        <v>1279</v>
      </c>
      <c r="M349" s="14" t="s">
        <v>744</v>
      </c>
      <c r="N349" s="15" t="s">
        <v>21</v>
      </c>
    </row>
    <row r="350" spans="1:14" ht="14.4" hidden="1" x14ac:dyDescent="0.3">
      <c r="A350" s="17" t="s">
        <v>745</v>
      </c>
      <c r="B350" s="18" t="s">
        <v>746</v>
      </c>
      <c r="C350" s="19" t="s">
        <v>747</v>
      </c>
      <c r="D350" s="20" t="s">
        <v>67</v>
      </c>
      <c r="E350" s="21">
        <v>5</v>
      </c>
      <c r="F350" s="12" t="s">
        <v>18</v>
      </c>
      <c r="G350" s="12" t="s">
        <v>19</v>
      </c>
      <c r="H350" s="13">
        <v>45742</v>
      </c>
      <c r="I350" s="22">
        <v>45763</v>
      </c>
      <c r="J350" s="22">
        <f t="shared" si="5"/>
        <v>45946</v>
      </c>
      <c r="K350" s="38" t="s">
        <v>34</v>
      </c>
      <c r="L350" s="38" t="s">
        <v>1251</v>
      </c>
      <c r="M350" s="14" t="s">
        <v>748</v>
      </c>
      <c r="N350" s="15" t="s">
        <v>36</v>
      </c>
    </row>
    <row r="351" spans="1:14" ht="14.4" hidden="1" x14ac:dyDescent="0.3">
      <c r="A351" s="17" t="s">
        <v>749</v>
      </c>
      <c r="B351" s="18" t="s">
        <v>750</v>
      </c>
      <c r="C351" s="19" t="s">
        <v>751</v>
      </c>
      <c r="D351" s="20" t="s">
        <v>752</v>
      </c>
      <c r="E351" s="21">
        <v>8</v>
      </c>
      <c r="F351" s="12" t="s">
        <v>18</v>
      </c>
      <c r="G351" s="12" t="s">
        <v>19</v>
      </c>
      <c r="H351" s="13">
        <v>45742</v>
      </c>
      <c r="I351" s="22">
        <v>45763</v>
      </c>
      <c r="J351" s="22">
        <f t="shared" si="5"/>
        <v>45946</v>
      </c>
      <c r="K351" s="38" t="s">
        <v>34</v>
      </c>
      <c r="L351" s="38" t="s">
        <v>1251</v>
      </c>
      <c r="M351" s="14" t="s">
        <v>753</v>
      </c>
      <c r="N351" s="15" t="s">
        <v>36</v>
      </c>
    </row>
    <row r="352" spans="1:14" ht="14.4" x14ac:dyDescent="0.3">
      <c r="A352" s="42" t="s">
        <v>754</v>
      </c>
      <c r="B352" s="39" t="s">
        <v>755</v>
      </c>
      <c r="C352" s="39" t="s">
        <v>756</v>
      </c>
      <c r="D352" s="39" t="s">
        <v>757</v>
      </c>
      <c r="E352" s="43">
        <v>2</v>
      </c>
      <c r="F352" s="39" t="s">
        <v>18</v>
      </c>
      <c r="G352" s="39" t="s">
        <v>19</v>
      </c>
      <c r="H352" s="40">
        <v>45743</v>
      </c>
      <c r="I352" s="41">
        <v>45768</v>
      </c>
      <c r="J352" s="41">
        <f t="shared" si="5"/>
        <v>45951</v>
      </c>
      <c r="K352" s="37">
        <v>45840</v>
      </c>
      <c r="L352" s="38" t="s">
        <v>1294</v>
      </c>
      <c r="M352" s="14" t="s">
        <v>639</v>
      </c>
      <c r="N352" s="15" t="s">
        <v>21</v>
      </c>
    </row>
    <row r="353" spans="1:14" ht="14.4" x14ac:dyDescent="0.3">
      <c r="A353" s="42"/>
      <c r="B353" s="39"/>
      <c r="C353" s="39"/>
      <c r="D353" s="39"/>
      <c r="E353" s="43"/>
      <c r="F353" s="39"/>
      <c r="G353" s="39"/>
      <c r="H353" s="40"/>
      <c r="I353" s="41"/>
      <c r="J353" s="41">
        <f t="shared" si="5"/>
        <v>182</v>
      </c>
      <c r="K353" s="37">
        <v>45840</v>
      </c>
      <c r="L353" s="38" t="s">
        <v>1294</v>
      </c>
      <c r="M353" s="14" t="s">
        <v>638</v>
      </c>
      <c r="N353" s="15" t="s">
        <v>21</v>
      </c>
    </row>
    <row r="354" spans="1:14" ht="14.4" x14ac:dyDescent="0.3">
      <c r="A354" s="42"/>
      <c r="B354" s="39"/>
      <c r="C354" s="39"/>
      <c r="D354" s="39"/>
      <c r="E354" s="43"/>
      <c r="F354" s="39"/>
      <c r="G354" s="39"/>
      <c r="H354" s="40"/>
      <c r="I354" s="41"/>
      <c r="J354" s="41">
        <f t="shared" si="5"/>
        <v>182</v>
      </c>
      <c r="K354" s="37">
        <v>45840</v>
      </c>
      <c r="L354" s="38" t="s">
        <v>1294</v>
      </c>
      <c r="M354" s="14" t="s">
        <v>758</v>
      </c>
      <c r="N354" s="15" t="s">
        <v>21</v>
      </c>
    </row>
    <row r="355" spans="1:14" ht="14.4" x14ac:dyDescent="0.3">
      <c r="A355" s="42"/>
      <c r="B355" s="39"/>
      <c r="C355" s="39"/>
      <c r="D355" s="39"/>
      <c r="E355" s="43"/>
      <c r="F355" s="39"/>
      <c r="G355" s="39"/>
      <c r="H355" s="40"/>
      <c r="I355" s="41"/>
      <c r="J355" s="41">
        <f t="shared" si="5"/>
        <v>182</v>
      </c>
      <c r="K355" s="37">
        <v>45840</v>
      </c>
      <c r="L355" s="38" t="s">
        <v>1294</v>
      </c>
      <c r="M355" s="14" t="s">
        <v>759</v>
      </c>
      <c r="N355" s="15" t="s">
        <v>21</v>
      </c>
    </row>
    <row r="356" spans="1:14" ht="14.4" x14ac:dyDescent="0.3">
      <c r="A356" s="42"/>
      <c r="B356" s="39"/>
      <c r="C356" s="39"/>
      <c r="D356" s="39"/>
      <c r="E356" s="43"/>
      <c r="F356" s="39"/>
      <c r="G356" s="39"/>
      <c r="H356" s="40"/>
      <c r="I356" s="41"/>
      <c r="J356" s="41">
        <f t="shared" si="5"/>
        <v>182</v>
      </c>
      <c r="K356" s="37">
        <v>45840</v>
      </c>
      <c r="L356" s="38" t="s">
        <v>1294</v>
      </c>
      <c r="M356" s="14" t="s">
        <v>760</v>
      </c>
      <c r="N356" s="15" t="s">
        <v>21</v>
      </c>
    </row>
    <row r="357" spans="1:14" ht="14.4" hidden="1" x14ac:dyDescent="0.3">
      <c r="A357" s="42" t="s">
        <v>761</v>
      </c>
      <c r="B357" s="39" t="s">
        <v>762</v>
      </c>
      <c r="C357" s="39" t="s">
        <v>763</v>
      </c>
      <c r="D357" s="39" t="s">
        <v>764</v>
      </c>
      <c r="E357" s="43">
        <v>7</v>
      </c>
      <c r="F357" s="39" t="s">
        <v>18</v>
      </c>
      <c r="G357" s="39" t="s">
        <v>19</v>
      </c>
      <c r="H357" s="40">
        <v>45743</v>
      </c>
      <c r="I357" s="41">
        <v>45768</v>
      </c>
      <c r="J357" s="41">
        <f t="shared" si="5"/>
        <v>45951</v>
      </c>
      <c r="K357" s="38" t="s">
        <v>34</v>
      </c>
      <c r="L357" s="38" t="s">
        <v>1251</v>
      </c>
      <c r="M357" s="14" t="s">
        <v>765</v>
      </c>
      <c r="N357" s="15" t="s">
        <v>36</v>
      </c>
    </row>
    <row r="358" spans="1:14" ht="14.4" x14ac:dyDescent="0.3">
      <c r="A358" s="42"/>
      <c r="B358" s="39"/>
      <c r="C358" s="39"/>
      <c r="D358" s="39"/>
      <c r="E358" s="43"/>
      <c r="F358" s="39"/>
      <c r="G358" s="39"/>
      <c r="H358" s="40"/>
      <c r="I358" s="41"/>
      <c r="J358" s="41">
        <f t="shared" si="5"/>
        <v>182</v>
      </c>
      <c r="K358" s="37">
        <v>45820</v>
      </c>
      <c r="L358" s="38" t="s">
        <v>1282</v>
      </c>
      <c r="M358" s="14" t="s">
        <v>766</v>
      </c>
      <c r="N358" s="15" t="s">
        <v>21</v>
      </c>
    </row>
    <row r="359" spans="1:14" ht="14.4" hidden="1" x14ac:dyDescent="0.3">
      <c r="A359" s="42"/>
      <c r="B359" s="39"/>
      <c r="C359" s="39"/>
      <c r="D359" s="39"/>
      <c r="E359" s="43"/>
      <c r="F359" s="39"/>
      <c r="G359" s="39"/>
      <c r="H359" s="40"/>
      <c r="I359" s="41"/>
      <c r="J359" s="41">
        <f t="shared" si="5"/>
        <v>182</v>
      </c>
      <c r="K359" s="38" t="s">
        <v>34</v>
      </c>
      <c r="L359" s="38" t="s">
        <v>1251</v>
      </c>
      <c r="M359" s="14" t="s">
        <v>767</v>
      </c>
      <c r="N359" s="15" t="s">
        <v>36</v>
      </c>
    </row>
    <row r="360" spans="1:14" ht="14.4" hidden="1" x14ac:dyDescent="0.3">
      <c r="A360" s="17" t="s">
        <v>768</v>
      </c>
      <c r="B360" s="18" t="s">
        <v>769</v>
      </c>
      <c r="C360" s="19" t="s">
        <v>770</v>
      </c>
      <c r="D360" s="20" t="s">
        <v>771</v>
      </c>
      <c r="E360" s="21">
        <v>5</v>
      </c>
      <c r="F360" s="12" t="s">
        <v>18</v>
      </c>
      <c r="G360" s="12" t="s">
        <v>19</v>
      </c>
      <c r="H360" s="13">
        <v>45743</v>
      </c>
      <c r="I360" s="22">
        <v>45768</v>
      </c>
      <c r="J360" s="22">
        <f t="shared" si="5"/>
        <v>45951</v>
      </c>
      <c r="K360" s="38" t="s">
        <v>34</v>
      </c>
      <c r="L360" s="38" t="s">
        <v>1251</v>
      </c>
      <c r="M360" s="14" t="s">
        <v>772</v>
      </c>
      <c r="N360" s="15" t="s">
        <v>36</v>
      </c>
    </row>
    <row r="361" spans="1:14" ht="14.4" hidden="1" x14ac:dyDescent="0.3">
      <c r="A361" s="17" t="s">
        <v>773</v>
      </c>
      <c r="B361" s="18" t="s">
        <v>774</v>
      </c>
      <c r="C361" s="19" t="s">
        <v>775</v>
      </c>
      <c r="D361" s="20" t="s">
        <v>17</v>
      </c>
      <c r="E361" s="21">
        <v>1</v>
      </c>
      <c r="F361" s="12" t="s">
        <v>18</v>
      </c>
      <c r="G361" s="12" t="s">
        <v>19</v>
      </c>
      <c r="H361" s="13">
        <v>45744</v>
      </c>
      <c r="I361" s="22">
        <v>45769</v>
      </c>
      <c r="J361" s="22">
        <f t="shared" si="5"/>
        <v>45952</v>
      </c>
      <c r="K361" s="38" t="s">
        <v>34</v>
      </c>
      <c r="L361" s="38" t="s">
        <v>1258</v>
      </c>
      <c r="M361" s="14" t="s">
        <v>776</v>
      </c>
      <c r="N361" s="15" t="s">
        <v>36</v>
      </c>
    </row>
    <row r="362" spans="1:14" ht="14.4" hidden="1" x14ac:dyDescent="0.3">
      <c r="A362" s="9" t="s">
        <v>777</v>
      </c>
      <c r="B362" s="25" t="s">
        <v>778</v>
      </c>
      <c r="C362" s="26" t="s">
        <v>303</v>
      </c>
      <c r="D362" s="10" t="s">
        <v>779</v>
      </c>
      <c r="E362" s="11">
        <v>3</v>
      </c>
      <c r="F362" s="12" t="s">
        <v>18</v>
      </c>
      <c r="G362" s="12" t="s">
        <v>19</v>
      </c>
      <c r="H362" s="13">
        <v>45744</v>
      </c>
      <c r="I362" s="22">
        <v>45769</v>
      </c>
      <c r="J362" s="22">
        <f t="shared" si="5"/>
        <v>45952</v>
      </c>
      <c r="K362" s="38" t="s">
        <v>43</v>
      </c>
      <c r="L362" s="38" t="s">
        <v>43</v>
      </c>
      <c r="M362" s="14" t="s">
        <v>780</v>
      </c>
      <c r="N362" s="15" t="s">
        <v>781</v>
      </c>
    </row>
    <row r="363" spans="1:14" ht="14.4" hidden="1" x14ac:dyDescent="0.3">
      <c r="A363" s="42" t="s">
        <v>782</v>
      </c>
      <c r="B363" s="39" t="s">
        <v>783</v>
      </c>
      <c r="C363" s="39" t="s">
        <v>784</v>
      </c>
      <c r="D363" s="39" t="s">
        <v>361</v>
      </c>
      <c r="E363" s="43">
        <v>3</v>
      </c>
      <c r="F363" s="39" t="s">
        <v>18</v>
      </c>
      <c r="G363" s="39" t="s">
        <v>19</v>
      </c>
      <c r="H363" s="40">
        <v>45747</v>
      </c>
      <c r="I363" s="41">
        <v>45770</v>
      </c>
      <c r="J363" s="41">
        <f t="shared" si="5"/>
        <v>45953</v>
      </c>
      <c r="K363" s="38" t="s">
        <v>43</v>
      </c>
      <c r="L363" s="38" t="s">
        <v>1258</v>
      </c>
      <c r="M363" s="28" t="s">
        <v>362</v>
      </c>
      <c r="N363" s="15" t="s">
        <v>785</v>
      </c>
    </row>
    <row r="364" spans="1:14" ht="14.4" hidden="1" x14ac:dyDescent="0.3">
      <c r="A364" s="42"/>
      <c r="B364" s="39"/>
      <c r="C364" s="39"/>
      <c r="D364" s="39"/>
      <c r="E364" s="43"/>
      <c r="F364" s="39"/>
      <c r="G364" s="39"/>
      <c r="H364" s="40"/>
      <c r="I364" s="41"/>
      <c r="J364" s="41">
        <f t="shared" si="5"/>
        <v>182</v>
      </c>
      <c r="K364" s="38" t="s">
        <v>43</v>
      </c>
      <c r="L364" s="38" t="s">
        <v>1258</v>
      </c>
      <c r="M364" s="28" t="s">
        <v>363</v>
      </c>
      <c r="N364" s="15" t="s">
        <v>786</v>
      </c>
    </row>
    <row r="365" spans="1:14" ht="14.4" hidden="1" x14ac:dyDescent="0.3">
      <c r="A365" s="42" t="s">
        <v>782</v>
      </c>
      <c r="B365" s="39" t="s">
        <v>783</v>
      </c>
      <c r="C365" s="39" t="s">
        <v>784</v>
      </c>
      <c r="D365" s="39" t="s">
        <v>361</v>
      </c>
      <c r="E365" s="43">
        <v>3</v>
      </c>
      <c r="F365" s="39" t="s">
        <v>18</v>
      </c>
      <c r="G365" s="39" t="s">
        <v>19</v>
      </c>
      <c r="H365" s="40">
        <v>45747</v>
      </c>
      <c r="I365" s="41">
        <v>45770</v>
      </c>
      <c r="J365" s="41">
        <f t="shared" si="5"/>
        <v>45953</v>
      </c>
      <c r="K365" s="38" t="s">
        <v>43</v>
      </c>
      <c r="L365" s="38" t="s">
        <v>1258</v>
      </c>
      <c r="M365" s="28" t="s">
        <v>362</v>
      </c>
      <c r="N365" s="15" t="s">
        <v>785</v>
      </c>
    </row>
    <row r="366" spans="1:14" ht="14.4" hidden="1" x14ac:dyDescent="0.3">
      <c r="A366" s="42"/>
      <c r="B366" s="39"/>
      <c r="C366" s="39"/>
      <c r="D366" s="39"/>
      <c r="E366" s="43"/>
      <c r="F366" s="39"/>
      <c r="G366" s="39"/>
      <c r="H366" s="40"/>
      <c r="I366" s="41"/>
      <c r="J366" s="41">
        <f t="shared" si="5"/>
        <v>182</v>
      </c>
      <c r="K366" s="38" t="s">
        <v>43</v>
      </c>
      <c r="L366" s="38" t="s">
        <v>1258</v>
      </c>
      <c r="M366" s="28" t="s">
        <v>363</v>
      </c>
      <c r="N366" s="15" t="s">
        <v>786</v>
      </c>
    </row>
    <row r="367" spans="1:14" ht="14.4" hidden="1" x14ac:dyDescent="0.3">
      <c r="A367" s="42" t="s">
        <v>787</v>
      </c>
      <c r="B367" s="39" t="s">
        <v>788</v>
      </c>
      <c r="C367" s="39" t="s">
        <v>743</v>
      </c>
      <c r="D367" s="39" t="s">
        <v>341</v>
      </c>
      <c r="E367" s="43">
        <v>1</v>
      </c>
      <c r="F367" s="39" t="s">
        <v>18</v>
      </c>
      <c r="G367" s="39" t="s">
        <v>19</v>
      </c>
      <c r="H367" s="40">
        <v>45747</v>
      </c>
      <c r="I367" s="41">
        <v>45770</v>
      </c>
      <c r="J367" s="41">
        <f t="shared" si="5"/>
        <v>45953</v>
      </c>
      <c r="K367" s="37">
        <v>45565</v>
      </c>
      <c r="L367" s="38" t="s">
        <v>1302</v>
      </c>
      <c r="M367" s="14" t="s">
        <v>789</v>
      </c>
      <c r="N367" s="15" t="s">
        <v>140</v>
      </c>
    </row>
    <row r="368" spans="1:14" ht="14.4" hidden="1" x14ac:dyDescent="0.3">
      <c r="A368" s="42"/>
      <c r="B368" s="39"/>
      <c r="C368" s="39"/>
      <c r="D368" s="39"/>
      <c r="E368" s="43"/>
      <c r="F368" s="39"/>
      <c r="G368" s="39"/>
      <c r="H368" s="40"/>
      <c r="I368" s="41"/>
      <c r="J368" s="41">
        <f t="shared" si="5"/>
        <v>182</v>
      </c>
      <c r="K368" s="37">
        <v>45565</v>
      </c>
      <c r="L368" s="38" t="s">
        <v>1302</v>
      </c>
      <c r="M368" s="14" t="s">
        <v>790</v>
      </c>
      <c r="N368" s="15" t="s">
        <v>140</v>
      </c>
    </row>
    <row r="369" spans="1:14" ht="14.4" x14ac:dyDescent="0.3">
      <c r="A369" s="42" t="s">
        <v>791</v>
      </c>
      <c r="B369" s="39" t="s">
        <v>792</v>
      </c>
      <c r="C369" s="39" t="s">
        <v>793</v>
      </c>
      <c r="D369" s="58" t="s">
        <v>794</v>
      </c>
      <c r="E369" s="43">
        <v>1</v>
      </c>
      <c r="F369" s="39" t="s">
        <v>18</v>
      </c>
      <c r="G369" s="39" t="s">
        <v>19</v>
      </c>
      <c r="H369" s="40">
        <v>45747</v>
      </c>
      <c r="I369" s="41">
        <v>45770</v>
      </c>
      <c r="J369" s="41">
        <f t="shared" si="5"/>
        <v>45953</v>
      </c>
      <c r="K369" s="37">
        <v>45852</v>
      </c>
      <c r="L369" s="38" t="s">
        <v>1303</v>
      </c>
      <c r="M369" s="14" t="s">
        <v>795</v>
      </c>
      <c r="N369" s="15" t="s">
        <v>21</v>
      </c>
    </row>
    <row r="370" spans="1:14" ht="14.4" x14ac:dyDescent="0.3">
      <c r="A370" s="42"/>
      <c r="B370" s="39"/>
      <c r="C370" s="39"/>
      <c r="D370" s="58"/>
      <c r="E370" s="43"/>
      <c r="F370" s="39"/>
      <c r="G370" s="39"/>
      <c r="H370" s="40"/>
      <c r="I370" s="41"/>
      <c r="J370" s="41">
        <f t="shared" si="5"/>
        <v>182</v>
      </c>
      <c r="K370" s="37">
        <v>45852</v>
      </c>
      <c r="L370" s="38" t="s">
        <v>1303</v>
      </c>
      <c r="M370" s="14" t="s">
        <v>796</v>
      </c>
      <c r="N370" s="15" t="s">
        <v>21</v>
      </c>
    </row>
    <row r="371" spans="1:14" ht="14.4" x14ac:dyDescent="0.3">
      <c r="A371" s="42"/>
      <c r="B371" s="39"/>
      <c r="C371" s="39"/>
      <c r="D371" s="58"/>
      <c r="E371" s="43"/>
      <c r="F371" s="39"/>
      <c r="G371" s="39"/>
      <c r="H371" s="40"/>
      <c r="I371" s="41"/>
      <c r="J371" s="41">
        <f t="shared" si="5"/>
        <v>182</v>
      </c>
      <c r="K371" s="37">
        <v>45852</v>
      </c>
      <c r="L371" s="38" t="s">
        <v>1303</v>
      </c>
      <c r="M371" s="14" t="s">
        <v>797</v>
      </c>
      <c r="N371" s="15" t="s">
        <v>21</v>
      </c>
    </row>
    <row r="372" spans="1:14" ht="14.4" x14ac:dyDescent="0.3">
      <c r="A372" s="42"/>
      <c r="B372" s="39"/>
      <c r="C372" s="39"/>
      <c r="D372" s="58"/>
      <c r="E372" s="43"/>
      <c r="F372" s="39"/>
      <c r="G372" s="39"/>
      <c r="H372" s="40"/>
      <c r="I372" s="41"/>
      <c r="J372" s="41">
        <f t="shared" si="5"/>
        <v>182</v>
      </c>
      <c r="K372" s="37">
        <v>45852</v>
      </c>
      <c r="L372" s="38" t="s">
        <v>1303</v>
      </c>
      <c r="M372" s="14" t="s">
        <v>798</v>
      </c>
      <c r="N372" s="15" t="s">
        <v>21</v>
      </c>
    </row>
    <row r="373" spans="1:14" ht="14.4" x14ac:dyDescent="0.3">
      <c r="A373" s="42"/>
      <c r="B373" s="39"/>
      <c r="C373" s="39"/>
      <c r="D373" s="58"/>
      <c r="E373" s="43"/>
      <c r="F373" s="39"/>
      <c r="G373" s="39"/>
      <c r="H373" s="40"/>
      <c r="I373" s="41"/>
      <c r="J373" s="41">
        <f t="shared" si="5"/>
        <v>182</v>
      </c>
      <c r="K373" s="37">
        <v>45852</v>
      </c>
      <c r="L373" s="38" t="s">
        <v>1303</v>
      </c>
      <c r="M373" s="14" t="s">
        <v>799</v>
      </c>
      <c r="N373" s="15" t="s">
        <v>21</v>
      </c>
    </row>
    <row r="374" spans="1:14" ht="15" hidden="1" customHeight="1" x14ac:dyDescent="0.3">
      <c r="A374" s="9" t="s">
        <v>800</v>
      </c>
      <c r="B374" s="25" t="s">
        <v>801</v>
      </c>
      <c r="C374" s="26" t="s">
        <v>802</v>
      </c>
      <c r="D374" s="10" t="s">
        <v>17</v>
      </c>
      <c r="E374" s="11">
        <v>1</v>
      </c>
      <c r="F374" s="12" t="s">
        <v>18</v>
      </c>
      <c r="G374" s="12" t="s">
        <v>19</v>
      </c>
      <c r="H374" s="13">
        <v>45748</v>
      </c>
      <c r="I374" s="22">
        <v>45771</v>
      </c>
      <c r="J374" s="22">
        <f t="shared" si="5"/>
        <v>45954</v>
      </c>
      <c r="K374" s="38" t="s">
        <v>34</v>
      </c>
      <c r="L374" s="38" t="s">
        <v>1258</v>
      </c>
      <c r="M374" s="14" t="s">
        <v>803</v>
      </c>
      <c r="N374" s="15" t="s">
        <v>36</v>
      </c>
    </row>
    <row r="375" spans="1:14" ht="14.4" hidden="1" x14ac:dyDescent="0.3">
      <c r="A375" s="42" t="s">
        <v>804</v>
      </c>
      <c r="B375" s="39" t="s">
        <v>805</v>
      </c>
      <c r="C375" s="39" t="s">
        <v>806</v>
      </c>
      <c r="D375" s="39" t="s">
        <v>807</v>
      </c>
      <c r="E375" s="43">
        <v>10</v>
      </c>
      <c r="F375" s="39" t="s">
        <v>18</v>
      </c>
      <c r="G375" s="39" t="s">
        <v>19</v>
      </c>
      <c r="H375" s="40">
        <v>45748</v>
      </c>
      <c r="I375" s="41">
        <v>45771</v>
      </c>
      <c r="J375" s="41">
        <f t="shared" si="5"/>
        <v>45954</v>
      </c>
      <c r="K375" s="38" t="s">
        <v>34</v>
      </c>
      <c r="L375" s="38" t="s">
        <v>1255</v>
      </c>
      <c r="M375" s="14" t="s">
        <v>808</v>
      </c>
      <c r="N375" s="15" t="s">
        <v>36</v>
      </c>
    </row>
    <row r="376" spans="1:14" ht="14.4" hidden="1" x14ac:dyDescent="0.3">
      <c r="A376" s="42"/>
      <c r="B376" s="39"/>
      <c r="C376" s="39"/>
      <c r="D376" s="39"/>
      <c r="E376" s="43"/>
      <c r="F376" s="39"/>
      <c r="G376" s="39"/>
      <c r="H376" s="40"/>
      <c r="I376" s="41"/>
      <c r="J376" s="41">
        <f t="shared" si="5"/>
        <v>182</v>
      </c>
      <c r="K376" s="38" t="s">
        <v>34</v>
      </c>
      <c r="L376" s="38" t="s">
        <v>1255</v>
      </c>
      <c r="M376" s="14" t="s">
        <v>809</v>
      </c>
      <c r="N376" s="15" t="s">
        <v>36</v>
      </c>
    </row>
    <row r="377" spans="1:14" ht="14.4" hidden="1" x14ac:dyDescent="0.3">
      <c r="A377" s="9" t="s">
        <v>810</v>
      </c>
      <c r="B377" s="25" t="s">
        <v>811</v>
      </c>
      <c r="C377" s="26" t="s">
        <v>812</v>
      </c>
      <c r="D377" s="10" t="s">
        <v>692</v>
      </c>
      <c r="E377" s="11">
        <v>9</v>
      </c>
      <c r="F377" s="12" t="s">
        <v>18</v>
      </c>
      <c r="G377" s="12" t="s">
        <v>19</v>
      </c>
      <c r="H377" s="13">
        <v>45749</v>
      </c>
      <c r="I377" s="22">
        <v>45772</v>
      </c>
      <c r="J377" s="22">
        <f t="shared" si="5"/>
        <v>45955</v>
      </c>
      <c r="K377" s="38" t="s">
        <v>43</v>
      </c>
      <c r="L377" s="38" t="s">
        <v>1260</v>
      </c>
      <c r="M377" s="28" t="s">
        <v>813</v>
      </c>
      <c r="N377" s="15" t="s">
        <v>73</v>
      </c>
    </row>
    <row r="378" spans="1:14" ht="14.4" hidden="1" x14ac:dyDescent="0.3">
      <c r="A378" s="42" t="s">
        <v>814</v>
      </c>
      <c r="B378" s="39" t="s">
        <v>815</v>
      </c>
      <c r="C378" s="39" t="s">
        <v>816</v>
      </c>
      <c r="D378" s="39" t="s">
        <v>817</v>
      </c>
      <c r="E378" s="43">
        <v>7</v>
      </c>
      <c r="F378" s="39" t="s">
        <v>18</v>
      </c>
      <c r="G378" s="39" t="s">
        <v>19</v>
      </c>
      <c r="H378" s="40">
        <v>45749</v>
      </c>
      <c r="I378" s="41">
        <v>45772</v>
      </c>
      <c r="J378" s="41">
        <f t="shared" si="5"/>
        <v>45955</v>
      </c>
      <c r="K378" s="38" t="s">
        <v>43</v>
      </c>
      <c r="L378" s="38" t="s">
        <v>1260</v>
      </c>
      <c r="M378" s="28" t="s">
        <v>818</v>
      </c>
      <c r="N378" s="15" t="s">
        <v>819</v>
      </c>
    </row>
    <row r="379" spans="1:14" ht="14.4" hidden="1" x14ac:dyDescent="0.3">
      <c r="A379" s="42"/>
      <c r="B379" s="39"/>
      <c r="C379" s="39"/>
      <c r="D379" s="39"/>
      <c r="E379" s="43"/>
      <c r="F379" s="39"/>
      <c r="G379" s="39"/>
      <c r="H379" s="40"/>
      <c r="I379" s="41"/>
      <c r="J379" s="41">
        <f t="shared" si="5"/>
        <v>182</v>
      </c>
      <c r="K379" s="38" t="s">
        <v>43</v>
      </c>
      <c r="L379" s="38" t="s">
        <v>1260</v>
      </c>
      <c r="M379" s="28" t="s">
        <v>820</v>
      </c>
      <c r="N379" s="15" t="s">
        <v>821</v>
      </c>
    </row>
    <row r="380" spans="1:14" ht="14.4" hidden="1" x14ac:dyDescent="0.3">
      <c r="A380" s="17" t="s">
        <v>822</v>
      </c>
      <c r="B380" s="18" t="s">
        <v>823</v>
      </c>
      <c r="C380" s="19" t="s">
        <v>824</v>
      </c>
      <c r="D380" s="20" t="s">
        <v>258</v>
      </c>
      <c r="E380" s="21">
        <v>10</v>
      </c>
      <c r="F380" s="12" t="s">
        <v>18</v>
      </c>
      <c r="G380" s="12" t="s">
        <v>19</v>
      </c>
      <c r="H380" s="13">
        <v>45750</v>
      </c>
      <c r="I380" s="22">
        <v>45775</v>
      </c>
      <c r="J380" s="22">
        <f t="shared" si="5"/>
        <v>45958</v>
      </c>
      <c r="K380" s="38" t="s">
        <v>34</v>
      </c>
      <c r="L380" s="38" t="s">
        <v>1255</v>
      </c>
      <c r="M380" s="14" t="s">
        <v>825</v>
      </c>
      <c r="N380" s="15" t="s">
        <v>36</v>
      </c>
    </row>
    <row r="381" spans="1:14" ht="14.4" hidden="1" x14ac:dyDescent="0.3">
      <c r="A381" s="17" t="s">
        <v>826</v>
      </c>
      <c r="B381" s="18" t="s">
        <v>827</v>
      </c>
      <c r="C381" s="19" t="s">
        <v>828</v>
      </c>
      <c r="D381" s="20" t="s">
        <v>17</v>
      </c>
      <c r="E381" s="21">
        <v>1</v>
      </c>
      <c r="F381" s="12" t="s">
        <v>18</v>
      </c>
      <c r="G381" s="12" t="s">
        <v>19</v>
      </c>
      <c r="H381" s="13">
        <v>45750</v>
      </c>
      <c r="I381" s="22">
        <v>45775</v>
      </c>
      <c r="J381" s="22">
        <f t="shared" si="5"/>
        <v>45958</v>
      </c>
      <c r="K381" s="38" t="s">
        <v>34</v>
      </c>
      <c r="L381" s="38" t="s">
        <v>1258</v>
      </c>
      <c r="M381" s="14" t="s">
        <v>776</v>
      </c>
      <c r="N381" s="15" t="s">
        <v>36</v>
      </c>
    </row>
    <row r="382" spans="1:14" ht="14.4" hidden="1" x14ac:dyDescent="0.3">
      <c r="A382" s="17" t="s">
        <v>829</v>
      </c>
      <c r="B382" s="18" t="s">
        <v>830</v>
      </c>
      <c r="C382" s="19" t="s">
        <v>831</v>
      </c>
      <c r="D382" s="20" t="s">
        <v>705</v>
      </c>
      <c r="E382" s="21">
        <v>2</v>
      </c>
      <c r="F382" s="12" t="s">
        <v>18</v>
      </c>
      <c r="G382" s="12" t="s">
        <v>19</v>
      </c>
      <c r="H382" s="13">
        <v>45750</v>
      </c>
      <c r="I382" s="22">
        <v>45775</v>
      </c>
      <c r="J382" s="22">
        <f t="shared" si="5"/>
        <v>45958</v>
      </c>
      <c r="K382" s="38" t="s">
        <v>34</v>
      </c>
      <c r="L382" s="38" t="s">
        <v>1258</v>
      </c>
      <c r="M382" s="14" t="s">
        <v>832</v>
      </c>
      <c r="N382" s="15" t="s">
        <v>36</v>
      </c>
    </row>
    <row r="383" spans="1:14" ht="14.4" hidden="1" x14ac:dyDescent="0.3">
      <c r="A383" s="17" t="s">
        <v>833</v>
      </c>
      <c r="B383" s="18" t="s">
        <v>834</v>
      </c>
      <c r="C383" s="19" t="s">
        <v>835</v>
      </c>
      <c r="D383" s="20" t="s">
        <v>517</v>
      </c>
      <c r="E383" s="21">
        <v>1</v>
      </c>
      <c r="F383" s="12" t="s">
        <v>18</v>
      </c>
      <c r="G383" s="12" t="s">
        <v>19</v>
      </c>
      <c r="H383" s="13">
        <v>45751</v>
      </c>
      <c r="I383" s="22">
        <v>45776</v>
      </c>
      <c r="J383" s="22">
        <f t="shared" si="5"/>
        <v>45959</v>
      </c>
      <c r="K383" s="38" t="s">
        <v>34</v>
      </c>
      <c r="L383" s="38" t="s">
        <v>1258</v>
      </c>
      <c r="M383" s="14" t="s">
        <v>836</v>
      </c>
      <c r="N383" s="15" t="s">
        <v>36</v>
      </c>
    </row>
    <row r="384" spans="1:14" ht="14.4" hidden="1" x14ac:dyDescent="0.3">
      <c r="A384" s="9" t="s">
        <v>837</v>
      </c>
      <c r="B384" s="25" t="s">
        <v>838</v>
      </c>
      <c r="C384" s="26" t="s">
        <v>839</v>
      </c>
      <c r="D384" s="10" t="s">
        <v>752</v>
      </c>
      <c r="E384" s="11">
        <v>8</v>
      </c>
      <c r="F384" s="12" t="s">
        <v>18</v>
      </c>
      <c r="G384" s="12" t="s">
        <v>19</v>
      </c>
      <c r="H384" s="13">
        <v>45755</v>
      </c>
      <c r="I384" s="22">
        <v>45779</v>
      </c>
      <c r="J384" s="22">
        <f t="shared" si="5"/>
        <v>45963</v>
      </c>
      <c r="K384" s="38" t="s">
        <v>43</v>
      </c>
      <c r="L384" s="38" t="s">
        <v>1260</v>
      </c>
      <c r="M384" s="28" t="s">
        <v>840</v>
      </c>
      <c r="N384" s="15" t="s">
        <v>841</v>
      </c>
    </row>
    <row r="385" spans="1:14" ht="14.4" hidden="1" x14ac:dyDescent="0.3">
      <c r="A385" s="42" t="s">
        <v>842</v>
      </c>
      <c r="B385" s="39" t="s">
        <v>843</v>
      </c>
      <c r="C385" s="39" t="s">
        <v>844</v>
      </c>
      <c r="D385" s="39" t="s">
        <v>361</v>
      </c>
      <c r="E385" s="43">
        <v>3</v>
      </c>
      <c r="F385" s="39" t="s">
        <v>18</v>
      </c>
      <c r="G385" s="39" t="s">
        <v>19</v>
      </c>
      <c r="H385" s="40">
        <v>45755</v>
      </c>
      <c r="I385" s="41">
        <v>45779</v>
      </c>
      <c r="J385" s="41">
        <f t="shared" si="5"/>
        <v>45963</v>
      </c>
      <c r="K385" s="38" t="s">
        <v>43</v>
      </c>
      <c r="L385" s="38" t="s">
        <v>716</v>
      </c>
      <c r="M385" s="28" t="s">
        <v>845</v>
      </c>
      <c r="N385" s="15" t="s">
        <v>716</v>
      </c>
    </row>
    <row r="386" spans="1:14" ht="14.4" hidden="1" x14ac:dyDescent="0.3">
      <c r="A386" s="42"/>
      <c r="B386" s="39"/>
      <c r="C386" s="39"/>
      <c r="D386" s="39"/>
      <c r="E386" s="43"/>
      <c r="F386" s="39"/>
      <c r="G386" s="39"/>
      <c r="H386" s="40"/>
      <c r="I386" s="41"/>
      <c r="J386" s="41">
        <f t="shared" si="5"/>
        <v>182</v>
      </c>
      <c r="K386" s="38" t="s">
        <v>43</v>
      </c>
      <c r="L386" s="38" t="s">
        <v>716</v>
      </c>
      <c r="M386" s="28" t="s">
        <v>846</v>
      </c>
      <c r="N386" s="15" t="s">
        <v>716</v>
      </c>
    </row>
    <row r="387" spans="1:14" ht="14.4" hidden="1" x14ac:dyDescent="0.3">
      <c r="A387" s="42"/>
      <c r="B387" s="39"/>
      <c r="C387" s="39"/>
      <c r="D387" s="39"/>
      <c r="E387" s="43"/>
      <c r="F387" s="39"/>
      <c r="G387" s="39"/>
      <c r="H387" s="40"/>
      <c r="I387" s="41"/>
      <c r="J387" s="41">
        <f t="shared" si="5"/>
        <v>182</v>
      </c>
      <c r="K387" s="38" t="s">
        <v>43</v>
      </c>
      <c r="L387" s="38" t="s">
        <v>716</v>
      </c>
      <c r="M387" s="28" t="s">
        <v>847</v>
      </c>
      <c r="N387" s="15" t="s">
        <v>716</v>
      </c>
    </row>
    <row r="388" spans="1:14" ht="14.4" x14ac:dyDescent="0.3">
      <c r="A388" s="9" t="s">
        <v>848</v>
      </c>
      <c r="B388" s="25" t="s">
        <v>849</v>
      </c>
      <c r="C388" s="26" t="s">
        <v>850</v>
      </c>
      <c r="D388" s="10" t="s">
        <v>851</v>
      </c>
      <c r="E388" s="11">
        <v>1</v>
      </c>
      <c r="F388" s="12" t="s">
        <v>18</v>
      </c>
      <c r="G388" s="12" t="s">
        <v>19</v>
      </c>
      <c r="H388" s="13">
        <v>45758</v>
      </c>
      <c r="I388" s="22">
        <v>45784</v>
      </c>
      <c r="J388" s="22">
        <f t="shared" si="5"/>
        <v>45968</v>
      </c>
      <c r="K388" s="37">
        <v>45852</v>
      </c>
      <c r="L388" s="38" t="s">
        <v>1303</v>
      </c>
      <c r="M388" s="14" t="s">
        <v>852</v>
      </c>
      <c r="N388" s="15" t="s">
        <v>21</v>
      </c>
    </row>
    <row r="389" spans="1:14" ht="14.4" hidden="1" x14ac:dyDescent="0.3">
      <c r="A389" s="42" t="s">
        <v>853</v>
      </c>
      <c r="B389" s="39" t="s">
        <v>854</v>
      </c>
      <c r="C389" s="39" t="s">
        <v>855</v>
      </c>
      <c r="D389" s="39" t="s">
        <v>856</v>
      </c>
      <c r="E389" s="43">
        <v>9</v>
      </c>
      <c r="F389" s="39" t="s">
        <v>18</v>
      </c>
      <c r="G389" s="39" t="s">
        <v>19</v>
      </c>
      <c r="H389" s="40">
        <v>45758</v>
      </c>
      <c r="I389" s="41">
        <v>45784</v>
      </c>
      <c r="J389" s="41">
        <f t="shared" si="5"/>
        <v>45968</v>
      </c>
      <c r="K389" s="38" t="s">
        <v>34</v>
      </c>
      <c r="L389" s="38" t="s">
        <v>1258</v>
      </c>
      <c r="M389" s="14" t="s">
        <v>857</v>
      </c>
      <c r="N389" s="15" t="s">
        <v>36</v>
      </c>
    </row>
    <row r="390" spans="1:14" ht="14.4" x14ac:dyDescent="0.3">
      <c r="A390" s="42"/>
      <c r="B390" s="39"/>
      <c r="C390" s="39"/>
      <c r="D390" s="39"/>
      <c r="E390" s="43"/>
      <c r="F390" s="39"/>
      <c r="G390" s="39"/>
      <c r="H390" s="40"/>
      <c r="I390" s="41"/>
      <c r="J390" s="41">
        <f t="shared" si="5"/>
        <v>182</v>
      </c>
      <c r="K390" s="37">
        <v>45845</v>
      </c>
      <c r="L390" s="38" t="s">
        <v>1297</v>
      </c>
      <c r="M390" s="14" t="s">
        <v>858</v>
      </c>
      <c r="N390" s="15" t="s">
        <v>21</v>
      </c>
    </row>
    <row r="391" spans="1:14" ht="14.4" hidden="1" x14ac:dyDescent="0.3">
      <c r="A391" s="42"/>
      <c r="B391" s="39"/>
      <c r="C391" s="39"/>
      <c r="D391" s="39"/>
      <c r="E391" s="43"/>
      <c r="F391" s="39"/>
      <c r="G391" s="39"/>
      <c r="H391" s="40"/>
      <c r="I391" s="41"/>
      <c r="J391" s="41">
        <f t="shared" si="5"/>
        <v>182</v>
      </c>
      <c r="K391" s="38" t="s">
        <v>34</v>
      </c>
      <c r="L391" s="38" t="s">
        <v>1258</v>
      </c>
      <c r="M391" s="14" t="s">
        <v>859</v>
      </c>
      <c r="N391" s="15" t="s">
        <v>36</v>
      </c>
    </row>
    <row r="392" spans="1:14" ht="14.4" hidden="1" x14ac:dyDescent="0.3">
      <c r="A392" s="42" t="s">
        <v>860</v>
      </c>
      <c r="B392" s="39" t="s">
        <v>861</v>
      </c>
      <c r="C392" s="39" t="s">
        <v>862</v>
      </c>
      <c r="D392" s="39" t="s">
        <v>210</v>
      </c>
      <c r="E392" s="43">
        <v>1</v>
      </c>
      <c r="F392" s="39" t="s">
        <v>18</v>
      </c>
      <c r="G392" s="39" t="s">
        <v>19</v>
      </c>
      <c r="H392" s="40">
        <v>45761</v>
      </c>
      <c r="I392" s="41">
        <v>45806</v>
      </c>
      <c r="J392" s="41">
        <f t="shared" ref="J392:J455" si="6">EDATE(I392,6)</f>
        <v>45990</v>
      </c>
      <c r="K392" s="38" t="s">
        <v>43</v>
      </c>
      <c r="L392" s="38" t="s">
        <v>1260</v>
      </c>
      <c r="M392" s="28" t="s">
        <v>863</v>
      </c>
      <c r="N392" s="15" t="s">
        <v>841</v>
      </c>
    </row>
    <row r="393" spans="1:14" ht="14.4" hidden="1" x14ac:dyDescent="0.3">
      <c r="A393" s="42"/>
      <c r="B393" s="39"/>
      <c r="C393" s="39"/>
      <c r="D393" s="39"/>
      <c r="E393" s="43"/>
      <c r="F393" s="39"/>
      <c r="G393" s="39"/>
      <c r="H393" s="40"/>
      <c r="I393" s="41"/>
      <c r="J393" s="41">
        <f t="shared" si="6"/>
        <v>182</v>
      </c>
      <c r="K393" s="38" t="s">
        <v>43</v>
      </c>
      <c r="L393" s="38" t="s">
        <v>1260</v>
      </c>
      <c r="M393" s="28" t="s">
        <v>864</v>
      </c>
      <c r="N393" s="15" t="s">
        <v>841</v>
      </c>
    </row>
    <row r="394" spans="1:14" ht="14.4" hidden="1" x14ac:dyDescent="0.3">
      <c r="A394" s="42"/>
      <c r="B394" s="39"/>
      <c r="C394" s="39"/>
      <c r="D394" s="39"/>
      <c r="E394" s="43"/>
      <c r="F394" s="39"/>
      <c r="G394" s="39"/>
      <c r="H394" s="40"/>
      <c r="I394" s="41"/>
      <c r="J394" s="41">
        <f t="shared" si="6"/>
        <v>182</v>
      </c>
      <c r="K394" s="38" t="s">
        <v>43</v>
      </c>
      <c r="L394" s="38" t="s">
        <v>1260</v>
      </c>
      <c r="M394" s="28" t="s">
        <v>865</v>
      </c>
      <c r="N394" s="15" t="s">
        <v>841</v>
      </c>
    </row>
    <row r="395" spans="1:14" ht="14.4" hidden="1" x14ac:dyDescent="0.3">
      <c r="A395" s="42"/>
      <c r="B395" s="39"/>
      <c r="C395" s="39"/>
      <c r="D395" s="39"/>
      <c r="E395" s="43"/>
      <c r="F395" s="39"/>
      <c r="G395" s="39"/>
      <c r="H395" s="40"/>
      <c r="I395" s="41"/>
      <c r="J395" s="41">
        <f t="shared" si="6"/>
        <v>182</v>
      </c>
      <c r="K395" s="38" t="s">
        <v>43</v>
      </c>
      <c r="L395" s="38" t="s">
        <v>1260</v>
      </c>
      <c r="M395" s="28" t="s">
        <v>866</v>
      </c>
      <c r="N395" s="15" t="s">
        <v>841</v>
      </c>
    </row>
    <row r="396" spans="1:14" ht="14.4" hidden="1" x14ac:dyDescent="0.3">
      <c r="A396" s="56" t="s">
        <v>867</v>
      </c>
      <c r="B396" s="53" t="s">
        <v>843</v>
      </c>
      <c r="C396" s="53" t="s">
        <v>844</v>
      </c>
      <c r="D396" s="53" t="s">
        <v>361</v>
      </c>
      <c r="E396" s="57">
        <v>3</v>
      </c>
      <c r="F396" s="53" t="s">
        <v>18</v>
      </c>
      <c r="G396" s="53" t="s">
        <v>19</v>
      </c>
      <c r="H396" s="54">
        <v>45761</v>
      </c>
      <c r="I396" s="55">
        <v>45785</v>
      </c>
      <c r="J396" s="55">
        <f t="shared" si="6"/>
        <v>45969</v>
      </c>
      <c r="K396" s="38" t="s">
        <v>43</v>
      </c>
      <c r="L396" s="38" t="s">
        <v>716</v>
      </c>
      <c r="M396" s="28" t="s">
        <v>845</v>
      </c>
      <c r="N396" s="15" t="s">
        <v>716</v>
      </c>
    </row>
    <row r="397" spans="1:14" ht="14.4" hidden="1" x14ac:dyDescent="0.3">
      <c r="A397" s="56"/>
      <c r="B397" s="53"/>
      <c r="C397" s="53"/>
      <c r="D397" s="53"/>
      <c r="E397" s="57"/>
      <c r="F397" s="53"/>
      <c r="G397" s="53"/>
      <c r="H397" s="54"/>
      <c r="I397" s="55"/>
      <c r="J397" s="55">
        <f t="shared" si="6"/>
        <v>182</v>
      </c>
      <c r="K397" s="38" t="s">
        <v>43</v>
      </c>
      <c r="L397" s="38" t="s">
        <v>716</v>
      </c>
      <c r="M397" s="28" t="s">
        <v>846</v>
      </c>
      <c r="N397" s="15" t="s">
        <v>716</v>
      </c>
    </row>
    <row r="398" spans="1:14" ht="14.4" hidden="1" x14ac:dyDescent="0.3">
      <c r="A398" s="56"/>
      <c r="B398" s="53"/>
      <c r="C398" s="53"/>
      <c r="D398" s="53"/>
      <c r="E398" s="57"/>
      <c r="F398" s="53"/>
      <c r="G398" s="53"/>
      <c r="H398" s="54"/>
      <c r="I398" s="55"/>
      <c r="J398" s="55">
        <f t="shared" si="6"/>
        <v>182</v>
      </c>
      <c r="K398" s="38" t="s">
        <v>43</v>
      </c>
      <c r="L398" s="38" t="s">
        <v>716</v>
      </c>
      <c r="M398" s="28" t="s">
        <v>847</v>
      </c>
      <c r="N398" s="15" t="s">
        <v>716</v>
      </c>
    </row>
    <row r="399" spans="1:14" ht="14.4" hidden="1" x14ac:dyDescent="0.3">
      <c r="A399" s="42" t="s">
        <v>868</v>
      </c>
      <c r="B399" s="39" t="s">
        <v>869</v>
      </c>
      <c r="C399" s="39" t="s">
        <v>870</v>
      </c>
      <c r="D399" s="39" t="s">
        <v>291</v>
      </c>
      <c r="E399" s="43">
        <v>10</v>
      </c>
      <c r="F399" s="39" t="s">
        <v>18</v>
      </c>
      <c r="G399" s="39" t="s">
        <v>19</v>
      </c>
      <c r="H399" s="40">
        <v>45761</v>
      </c>
      <c r="I399" s="41">
        <v>45806</v>
      </c>
      <c r="J399" s="41">
        <f t="shared" si="6"/>
        <v>45990</v>
      </c>
      <c r="K399" s="38" t="s">
        <v>43</v>
      </c>
      <c r="L399" s="38" t="s">
        <v>1304</v>
      </c>
      <c r="M399" s="28" t="s">
        <v>871</v>
      </c>
      <c r="N399" s="15" t="s">
        <v>36</v>
      </c>
    </row>
    <row r="400" spans="1:14" ht="14.4" hidden="1" x14ac:dyDescent="0.3">
      <c r="A400" s="42"/>
      <c r="B400" s="39"/>
      <c r="C400" s="39"/>
      <c r="D400" s="39"/>
      <c r="E400" s="43"/>
      <c r="F400" s="39"/>
      <c r="G400" s="39"/>
      <c r="H400" s="40"/>
      <c r="I400" s="41"/>
      <c r="J400" s="41">
        <f t="shared" si="6"/>
        <v>182</v>
      </c>
      <c r="K400" s="38" t="s">
        <v>43</v>
      </c>
      <c r="L400" s="38" t="s">
        <v>1304</v>
      </c>
      <c r="M400" s="28" t="s">
        <v>872</v>
      </c>
      <c r="N400" s="15" t="s">
        <v>36</v>
      </c>
    </row>
    <row r="401" spans="1:14" ht="14.4" x14ac:dyDescent="0.3">
      <c r="A401" s="42" t="s">
        <v>873</v>
      </c>
      <c r="B401" s="39" t="s">
        <v>874</v>
      </c>
      <c r="C401" s="39" t="s">
        <v>875</v>
      </c>
      <c r="D401" s="39" t="s">
        <v>569</v>
      </c>
      <c r="E401" s="43">
        <v>1</v>
      </c>
      <c r="F401" s="39" t="s">
        <v>18</v>
      </c>
      <c r="G401" s="39" t="s">
        <v>19</v>
      </c>
      <c r="H401" s="40">
        <v>45761</v>
      </c>
      <c r="I401" s="41">
        <v>45806</v>
      </c>
      <c r="J401" s="41">
        <f t="shared" si="6"/>
        <v>45990</v>
      </c>
      <c r="K401" s="37">
        <v>45852</v>
      </c>
      <c r="L401" s="38" t="s">
        <v>1303</v>
      </c>
      <c r="M401" s="14" t="s">
        <v>876</v>
      </c>
      <c r="N401" s="15" t="s">
        <v>21</v>
      </c>
    </row>
    <row r="402" spans="1:14" ht="14.4" x14ac:dyDescent="0.3">
      <c r="A402" s="42"/>
      <c r="B402" s="39"/>
      <c r="C402" s="39"/>
      <c r="D402" s="39"/>
      <c r="E402" s="43"/>
      <c r="F402" s="39"/>
      <c r="G402" s="39"/>
      <c r="H402" s="40"/>
      <c r="I402" s="41"/>
      <c r="J402" s="41">
        <f t="shared" si="6"/>
        <v>182</v>
      </c>
      <c r="K402" s="37">
        <v>45805</v>
      </c>
      <c r="L402" s="38" t="s">
        <v>1305</v>
      </c>
      <c r="M402" s="14" t="s">
        <v>877</v>
      </c>
      <c r="N402" s="15" t="s">
        <v>21</v>
      </c>
    </row>
    <row r="403" spans="1:14" ht="14.4" x14ac:dyDescent="0.3">
      <c r="A403" s="42"/>
      <c r="B403" s="39"/>
      <c r="C403" s="39"/>
      <c r="D403" s="39"/>
      <c r="E403" s="43"/>
      <c r="F403" s="39"/>
      <c r="G403" s="39"/>
      <c r="H403" s="40"/>
      <c r="I403" s="41"/>
      <c r="J403" s="41">
        <f t="shared" si="6"/>
        <v>182</v>
      </c>
      <c r="K403" s="37">
        <v>45852</v>
      </c>
      <c r="L403" s="38" t="s">
        <v>1303</v>
      </c>
      <c r="M403" s="14" t="s">
        <v>878</v>
      </c>
      <c r="N403" s="15" t="s">
        <v>21</v>
      </c>
    </row>
    <row r="404" spans="1:14" ht="27.6" x14ac:dyDescent="0.3">
      <c r="A404" s="33" t="s">
        <v>879</v>
      </c>
      <c r="B404" s="34" t="s">
        <v>880</v>
      </c>
      <c r="C404" s="35" t="s">
        <v>881</v>
      </c>
      <c r="D404" s="26" t="s">
        <v>882</v>
      </c>
      <c r="E404" s="11">
        <v>1</v>
      </c>
      <c r="F404" s="30" t="s">
        <v>18</v>
      </c>
      <c r="G404" s="30" t="s">
        <v>19</v>
      </c>
      <c r="H404" s="31">
        <v>45763</v>
      </c>
      <c r="I404" s="32">
        <v>45789</v>
      </c>
      <c r="J404" s="32">
        <f t="shared" si="6"/>
        <v>45973</v>
      </c>
      <c r="K404" s="37">
        <v>45853</v>
      </c>
      <c r="L404" s="38" t="s">
        <v>1279</v>
      </c>
      <c r="M404" s="14" t="s">
        <v>883</v>
      </c>
      <c r="N404" s="15" t="s">
        <v>21</v>
      </c>
    </row>
    <row r="405" spans="1:14" ht="14.4" hidden="1" x14ac:dyDescent="0.3">
      <c r="A405" s="42" t="s">
        <v>884</v>
      </c>
      <c r="B405" s="39" t="s">
        <v>861</v>
      </c>
      <c r="C405" s="39" t="s">
        <v>862</v>
      </c>
      <c r="D405" s="39" t="s">
        <v>210</v>
      </c>
      <c r="E405" s="43">
        <v>1</v>
      </c>
      <c r="F405" s="39" t="s">
        <v>18</v>
      </c>
      <c r="G405" s="39" t="s">
        <v>19</v>
      </c>
      <c r="H405" s="40">
        <v>45763</v>
      </c>
      <c r="I405" s="41">
        <v>45811</v>
      </c>
      <c r="J405" s="41">
        <f t="shared" si="6"/>
        <v>45994</v>
      </c>
      <c r="K405" s="38" t="s">
        <v>43</v>
      </c>
      <c r="L405" s="38" t="s">
        <v>1260</v>
      </c>
      <c r="M405" s="28" t="s">
        <v>863</v>
      </c>
      <c r="N405" s="15" t="s">
        <v>841</v>
      </c>
    </row>
    <row r="406" spans="1:14" ht="14.4" hidden="1" x14ac:dyDescent="0.3">
      <c r="A406" s="42"/>
      <c r="B406" s="39"/>
      <c r="C406" s="39"/>
      <c r="D406" s="39"/>
      <c r="E406" s="43"/>
      <c r="F406" s="39"/>
      <c r="G406" s="39"/>
      <c r="H406" s="40"/>
      <c r="I406" s="41"/>
      <c r="J406" s="41">
        <f t="shared" si="6"/>
        <v>182</v>
      </c>
      <c r="K406" s="38" t="s">
        <v>43</v>
      </c>
      <c r="L406" s="38" t="s">
        <v>1260</v>
      </c>
      <c r="M406" s="28" t="s">
        <v>864</v>
      </c>
      <c r="N406" s="15" t="s">
        <v>841</v>
      </c>
    </row>
    <row r="407" spans="1:14" ht="14.4" hidden="1" x14ac:dyDescent="0.3">
      <c r="A407" s="42"/>
      <c r="B407" s="39"/>
      <c r="C407" s="39"/>
      <c r="D407" s="39"/>
      <c r="E407" s="43"/>
      <c r="F407" s="39"/>
      <c r="G407" s="39"/>
      <c r="H407" s="40"/>
      <c r="I407" s="41"/>
      <c r="J407" s="41">
        <f t="shared" si="6"/>
        <v>182</v>
      </c>
      <c r="K407" s="38" t="s">
        <v>43</v>
      </c>
      <c r="L407" s="38" t="s">
        <v>1260</v>
      </c>
      <c r="M407" s="28" t="s">
        <v>865</v>
      </c>
      <c r="N407" s="15" t="s">
        <v>841</v>
      </c>
    </row>
    <row r="408" spans="1:14" ht="14.4" hidden="1" x14ac:dyDescent="0.3">
      <c r="A408" s="42"/>
      <c r="B408" s="39"/>
      <c r="C408" s="39"/>
      <c r="D408" s="39"/>
      <c r="E408" s="43"/>
      <c r="F408" s="39"/>
      <c r="G408" s="39"/>
      <c r="H408" s="40"/>
      <c r="I408" s="41"/>
      <c r="J408" s="41">
        <f t="shared" si="6"/>
        <v>182</v>
      </c>
      <c r="K408" s="38" t="s">
        <v>43</v>
      </c>
      <c r="L408" s="38" t="s">
        <v>1260</v>
      </c>
      <c r="M408" s="28" t="s">
        <v>885</v>
      </c>
      <c r="N408" s="15" t="s">
        <v>841</v>
      </c>
    </row>
    <row r="409" spans="1:14" ht="14.4" hidden="1" x14ac:dyDescent="0.3">
      <c r="A409" s="56" t="s">
        <v>886</v>
      </c>
      <c r="B409" s="53" t="s">
        <v>843</v>
      </c>
      <c r="C409" s="53" t="s">
        <v>844</v>
      </c>
      <c r="D409" s="53" t="s">
        <v>361</v>
      </c>
      <c r="E409" s="57">
        <v>3</v>
      </c>
      <c r="F409" s="53" t="s">
        <v>18</v>
      </c>
      <c r="G409" s="53" t="s">
        <v>19</v>
      </c>
      <c r="H409" s="54">
        <v>45768</v>
      </c>
      <c r="I409" s="55">
        <v>45790</v>
      </c>
      <c r="J409" s="55">
        <f t="shared" si="6"/>
        <v>45974</v>
      </c>
      <c r="K409" s="38" t="s">
        <v>43</v>
      </c>
      <c r="L409" s="38" t="s">
        <v>716</v>
      </c>
      <c r="M409" s="28" t="s">
        <v>845</v>
      </c>
      <c r="N409" s="15" t="s">
        <v>716</v>
      </c>
    </row>
    <row r="410" spans="1:14" ht="14.4" hidden="1" x14ac:dyDescent="0.3">
      <c r="A410" s="56"/>
      <c r="B410" s="53"/>
      <c r="C410" s="53"/>
      <c r="D410" s="53"/>
      <c r="E410" s="57"/>
      <c r="F410" s="53"/>
      <c r="G410" s="53"/>
      <c r="H410" s="54"/>
      <c r="I410" s="55"/>
      <c r="J410" s="55">
        <f t="shared" si="6"/>
        <v>182</v>
      </c>
      <c r="K410" s="38" t="s">
        <v>43</v>
      </c>
      <c r="L410" s="38" t="s">
        <v>716</v>
      </c>
      <c r="M410" s="28" t="s">
        <v>846</v>
      </c>
      <c r="N410" s="15" t="s">
        <v>716</v>
      </c>
    </row>
    <row r="411" spans="1:14" ht="14.4" hidden="1" x14ac:dyDescent="0.3">
      <c r="A411" s="56"/>
      <c r="B411" s="53"/>
      <c r="C411" s="53"/>
      <c r="D411" s="53"/>
      <c r="E411" s="57"/>
      <c r="F411" s="53"/>
      <c r="G411" s="53"/>
      <c r="H411" s="54"/>
      <c r="I411" s="55"/>
      <c r="J411" s="55">
        <f t="shared" si="6"/>
        <v>182</v>
      </c>
      <c r="K411" s="38" t="s">
        <v>43</v>
      </c>
      <c r="L411" s="38" t="s">
        <v>716</v>
      </c>
      <c r="M411" s="28" t="s">
        <v>847</v>
      </c>
      <c r="N411" s="15" t="s">
        <v>716</v>
      </c>
    </row>
    <row r="412" spans="1:14" ht="14.4" hidden="1" x14ac:dyDescent="0.3">
      <c r="A412" s="42" t="s">
        <v>887</v>
      </c>
      <c r="B412" s="39" t="s">
        <v>172</v>
      </c>
      <c r="C412" s="39" t="s">
        <v>888</v>
      </c>
      <c r="D412" s="39" t="s">
        <v>174</v>
      </c>
      <c r="E412" s="43">
        <v>4</v>
      </c>
      <c r="F412" s="39" t="s">
        <v>18</v>
      </c>
      <c r="G412" s="39" t="s">
        <v>19</v>
      </c>
      <c r="H412" s="40">
        <v>45769</v>
      </c>
      <c r="I412" s="41">
        <v>45791</v>
      </c>
      <c r="J412" s="41">
        <f t="shared" si="6"/>
        <v>45975</v>
      </c>
      <c r="K412" s="38" t="s">
        <v>43</v>
      </c>
      <c r="L412" s="38" t="s">
        <v>1260</v>
      </c>
      <c r="M412" s="28" t="s">
        <v>176</v>
      </c>
      <c r="N412" s="15" t="s">
        <v>841</v>
      </c>
    </row>
    <row r="413" spans="1:14" ht="14.4" hidden="1" x14ac:dyDescent="0.3">
      <c r="A413" s="42"/>
      <c r="B413" s="39"/>
      <c r="C413" s="39"/>
      <c r="D413" s="39"/>
      <c r="E413" s="43"/>
      <c r="F413" s="39"/>
      <c r="G413" s="39"/>
      <c r="H413" s="40"/>
      <c r="I413" s="41"/>
      <c r="J413" s="41">
        <f t="shared" si="6"/>
        <v>182</v>
      </c>
      <c r="K413" s="38" t="s">
        <v>34</v>
      </c>
      <c r="L413" s="38" t="s">
        <v>1245</v>
      </c>
      <c r="M413" s="14" t="s">
        <v>175</v>
      </c>
      <c r="N413" s="15" t="s">
        <v>36</v>
      </c>
    </row>
    <row r="414" spans="1:14" ht="14.4" hidden="1" x14ac:dyDescent="0.3">
      <c r="A414" s="42" t="s">
        <v>889</v>
      </c>
      <c r="B414" s="39" t="s">
        <v>890</v>
      </c>
      <c r="C414" s="39" t="s">
        <v>891</v>
      </c>
      <c r="D414" s="39" t="s">
        <v>138</v>
      </c>
      <c r="E414" s="43">
        <v>5</v>
      </c>
      <c r="F414" s="39" t="s">
        <v>18</v>
      </c>
      <c r="G414" s="39" t="s">
        <v>19</v>
      </c>
      <c r="H414" s="40">
        <v>45769</v>
      </c>
      <c r="I414" s="41">
        <v>45813</v>
      </c>
      <c r="J414" s="41">
        <f t="shared" si="6"/>
        <v>45996</v>
      </c>
      <c r="K414" s="38" t="s">
        <v>43</v>
      </c>
      <c r="L414" s="38" t="s">
        <v>1260</v>
      </c>
      <c r="M414" s="28" t="s">
        <v>892</v>
      </c>
      <c r="N414" s="15" t="s">
        <v>841</v>
      </c>
    </row>
    <row r="415" spans="1:14" ht="14.4" hidden="1" x14ac:dyDescent="0.3">
      <c r="A415" s="42"/>
      <c r="B415" s="39"/>
      <c r="C415" s="39"/>
      <c r="D415" s="39"/>
      <c r="E415" s="43"/>
      <c r="F415" s="39"/>
      <c r="G415" s="39"/>
      <c r="H415" s="40"/>
      <c r="I415" s="41"/>
      <c r="J415" s="41">
        <f t="shared" si="6"/>
        <v>182</v>
      </c>
      <c r="K415" s="38" t="s">
        <v>43</v>
      </c>
      <c r="L415" s="38" t="s">
        <v>1260</v>
      </c>
      <c r="M415" s="28" t="s">
        <v>893</v>
      </c>
      <c r="N415" s="15" t="s">
        <v>841</v>
      </c>
    </row>
    <row r="416" spans="1:14" ht="14.4" hidden="1" x14ac:dyDescent="0.3">
      <c r="A416" s="42"/>
      <c r="B416" s="39"/>
      <c r="C416" s="39"/>
      <c r="D416" s="39"/>
      <c r="E416" s="43"/>
      <c r="F416" s="39"/>
      <c r="G416" s="39"/>
      <c r="H416" s="40"/>
      <c r="I416" s="41"/>
      <c r="J416" s="41">
        <f t="shared" si="6"/>
        <v>182</v>
      </c>
      <c r="K416" s="38" t="s">
        <v>43</v>
      </c>
      <c r="L416" s="38" t="s">
        <v>1260</v>
      </c>
      <c r="M416" s="28" t="s">
        <v>894</v>
      </c>
      <c r="N416" s="15" t="s">
        <v>841</v>
      </c>
    </row>
    <row r="417" spans="1:14" ht="14.4" hidden="1" x14ac:dyDescent="0.3">
      <c r="A417" s="42" t="s">
        <v>895</v>
      </c>
      <c r="B417" s="39" t="s">
        <v>896</v>
      </c>
      <c r="C417" s="39" t="s">
        <v>897</v>
      </c>
      <c r="D417" s="39" t="s">
        <v>898</v>
      </c>
      <c r="E417" s="43" t="s">
        <v>899</v>
      </c>
      <c r="F417" s="39" t="s">
        <v>18</v>
      </c>
      <c r="G417" s="39" t="s">
        <v>19</v>
      </c>
      <c r="H417" s="40">
        <v>45769</v>
      </c>
      <c r="I417" s="41">
        <v>45813</v>
      </c>
      <c r="J417" s="41">
        <f t="shared" si="6"/>
        <v>45996</v>
      </c>
      <c r="K417" s="38" t="s">
        <v>43</v>
      </c>
      <c r="L417" s="38" t="s">
        <v>1260</v>
      </c>
      <c r="M417" s="28" t="s">
        <v>900</v>
      </c>
      <c r="N417" s="15" t="s">
        <v>841</v>
      </c>
    </row>
    <row r="418" spans="1:14" ht="14.4" hidden="1" x14ac:dyDescent="0.3">
      <c r="A418" s="42"/>
      <c r="B418" s="39"/>
      <c r="C418" s="39"/>
      <c r="D418" s="39"/>
      <c r="E418" s="43"/>
      <c r="F418" s="39"/>
      <c r="G418" s="39"/>
      <c r="H418" s="40"/>
      <c r="I418" s="41"/>
      <c r="J418" s="41">
        <f t="shared" si="6"/>
        <v>182</v>
      </c>
      <c r="K418" s="38" t="s">
        <v>43</v>
      </c>
      <c r="L418" s="38" t="s">
        <v>1260</v>
      </c>
      <c r="M418" s="28" t="s">
        <v>901</v>
      </c>
      <c r="N418" s="15" t="s">
        <v>841</v>
      </c>
    </row>
    <row r="419" spans="1:14" ht="14.4" hidden="1" x14ac:dyDescent="0.3">
      <c r="A419" s="9" t="s">
        <v>902</v>
      </c>
      <c r="B419" s="25" t="s">
        <v>903</v>
      </c>
      <c r="C419" s="26" t="s">
        <v>904</v>
      </c>
      <c r="D419" s="10" t="s">
        <v>361</v>
      </c>
      <c r="E419" s="11" t="e">
        <f>VLOOKUP(D419,$H$5:I418,2,)</f>
        <v>#N/A</v>
      </c>
      <c r="F419" s="12" t="s">
        <v>18</v>
      </c>
      <c r="G419" s="12" t="s">
        <v>19</v>
      </c>
      <c r="H419" s="13">
        <v>45770</v>
      </c>
      <c r="I419" s="22">
        <v>45792</v>
      </c>
      <c r="J419" s="22">
        <f t="shared" si="6"/>
        <v>45976</v>
      </c>
      <c r="K419" s="38" t="s">
        <v>34</v>
      </c>
      <c r="L419" s="38" t="s">
        <v>716</v>
      </c>
      <c r="M419" s="14" t="s">
        <v>362</v>
      </c>
      <c r="N419" s="15" t="s">
        <v>43</v>
      </c>
    </row>
    <row r="420" spans="1:14" ht="14.4" hidden="1" x14ac:dyDescent="0.3">
      <c r="A420" s="42" t="s">
        <v>905</v>
      </c>
      <c r="B420" s="39" t="s">
        <v>906</v>
      </c>
      <c r="C420" s="39" t="s">
        <v>16</v>
      </c>
      <c r="D420" s="39" t="s">
        <v>907</v>
      </c>
      <c r="E420" s="43" t="e">
        <f>VLOOKUP(D420,$H$5:I419,2,)</f>
        <v>#N/A</v>
      </c>
      <c r="F420" s="39" t="s">
        <v>18</v>
      </c>
      <c r="G420" s="39" t="s">
        <v>19</v>
      </c>
      <c r="H420" s="40">
        <v>45771</v>
      </c>
      <c r="I420" s="41">
        <v>45817</v>
      </c>
      <c r="J420" s="41">
        <f t="shared" si="6"/>
        <v>46000</v>
      </c>
      <c r="K420" s="38" t="s">
        <v>34</v>
      </c>
      <c r="L420" s="38" t="s">
        <v>1255</v>
      </c>
      <c r="M420" s="14" t="s">
        <v>908</v>
      </c>
      <c r="N420" s="15" t="s">
        <v>36</v>
      </c>
    </row>
    <row r="421" spans="1:14" ht="14.4" hidden="1" x14ac:dyDescent="0.3">
      <c r="A421" s="42"/>
      <c r="B421" s="39"/>
      <c r="C421" s="39"/>
      <c r="D421" s="39"/>
      <c r="E421" s="43"/>
      <c r="F421" s="39"/>
      <c r="G421" s="39"/>
      <c r="H421" s="40"/>
      <c r="I421" s="41"/>
      <c r="J421" s="41">
        <f t="shared" si="6"/>
        <v>182</v>
      </c>
      <c r="K421" s="38" t="s">
        <v>34</v>
      </c>
      <c r="L421" s="38" t="s">
        <v>1255</v>
      </c>
      <c r="M421" s="14" t="s">
        <v>909</v>
      </c>
      <c r="N421" s="15" t="s">
        <v>36</v>
      </c>
    </row>
    <row r="422" spans="1:14" ht="14.4" hidden="1" x14ac:dyDescent="0.3">
      <c r="A422" s="42"/>
      <c r="B422" s="39"/>
      <c r="C422" s="39"/>
      <c r="D422" s="39"/>
      <c r="E422" s="43"/>
      <c r="F422" s="39"/>
      <c r="G422" s="39"/>
      <c r="H422" s="40"/>
      <c r="I422" s="41"/>
      <c r="J422" s="41">
        <f t="shared" si="6"/>
        <v>182</v>
      </c>
      <c r="K422" s="38" t="s">
        <v>34</v>
      </c>
      <c r="L422" s="38" t="s">
        <v>1255</v>
      </c>
      <c r="M422" s="14" t="s">
        <v>910</v>
      </c>
      <c r="N422" s="15" t="s">
        <v>36</v>
      </c>
    </row>
    <row r="423" spans="1:14" ht="14.4" hidden="1" x14ac:dyDescent="0.3">
      <c r="A423" s="42"/>
      <c r="B423" s="39"/>
      <c r="C423" s="39"/>
      <c r="D423" s="39"/>
      <c r="E423" s="43"/>
      <c r="F423" s="39"/>
      <c r="G423" s="39"/>
      <c r="H423" s="40"/>
      <c r="I423" s="41"/>
      <c r="J423" s="41">
        <f t="shared" si="6"/>
        <v>182</v>
      </c>
      <c r="K423" s="38" t="s">
        <v>34</v>
      </c>
      <c r="L423" s="38" t="s">
        <v>1255</v>
      </c>
      <c r="M423" s="14" t="s">
        <v>911</v>
      </c>
      <c r="N423" s="15" t="s">
        <v>36</v>
      </c>
    </row>
    <row r="424" spans="1:14" ht="14.4" hidden="1" x14ac:dyDescent="0.3">
      <c r="A424" s="42"/>
      <c r="B424" s="39"/>
      <c r="C424" s="39"/>
      <c r="D424" s="39"/>
      <c r="E424" s="43"/>
      <c r="F424" s="39"/>
      <c r="G424" s="39"/>
      <c r="H424" s="40"/>
      <c r="I424" s="41"/>
      <c r="J424" s="41">
        <f t="shared" si="6"/>
        <v>182</v>
      </c>
      <c r="K424" s="38" t="s">
        <v>34</v>
      </c>
      <c r="L424" s="38" t="s">
        <v>1255</v>
      </c>
      <c r="M424" s="14" t="s">
        <v>912</v>
      </c>
      <c r="N424" s="15" t="s">
        <v>36</v>
      </c>
    </row>
    <row r="425" spans="1:14" ht="14.4" hidden="1" x14ac:dyDescent="0.3">
      <c r="A425" s="42"/>
      <c r="B425" s="39"/>
      <c r="C425" s="39"/>
      <c r="D425" s="39"/>
      <c r="E425" s="43"/>
      <c r="F425" s="39"/>
      <c r="G425" s="39"/>
      <c r="H425" s="40"/>
      <c r="I425" s="41"/>
      <c r="J425" s="41">
        <f t="shared" si="6"/>
        <v>182</v>
      </c>
      <c r="K425" s="38" t="s">
        <v>34</v>
      </c>
      <c r="L425" s="38" t="s">
        <v>1255</v>
      </c>
      <c r="M425" s="14" t="s">
        <v>913</v>
      </c>
      <c r="N425" s="15" t="s">
        <v>36</v>
      </c>
    </row>
    <row r="426" spans="1:14" ht="14.4" hidden="1" x14ac:dyDescent="0.3">
      <c r="A426" s="42"/>
      <c r="B426" s="39"/>
      <c r="C426" s="39"/>
      <c r="D426" s="39"/>
      <c r="E426" s="43"/>
      <c r="F426" s="39"/>
      <c r="G426" s="39"/>
      <c r="H426" s="40"/>
      <c r="I426" s="41"/>
      <c r="J426" s="41">
        <f t="shared" si="6"/>
        <v>182</v>
      </c>
      <c r="K426" s="38" t="s">
        <v>34</v>
      </c>
      <c r="L426" s="38" t="s">
        <v>1255</v>
      </c>
      <c r="M426" s="14" t="s">
        <v>914</v>
      </c>
      <c r="N426" s="15" t="s">
        <v>36</v>
      </c>
    </row>
    <row r="427" spans="1:14" ht="14.4" hidden="1" x14ac:dyDescent="0.3">
      <c r="A427" s="42"/>
      <c r="B427" s="39"/>
      <c r="C427" s="39"/>
      <c r="D427" s="39"/>
      <c r="E427" s="43"/>
      <c r="F427" s="39"/>
      <c r="G427" s="39"/>
      <c r="H427" s="40"/>
      <c r="I427" s="41"/>
      <c r="J427" s="41">
        <f t="shared" si="6"/>
        <v>182</v>
      </c>
      <c r="K427" s="38" t="s">
        <v>34</v>
      </c>
      <c r="L427" s="38" t="s">
        <v>1255</v>
      </c>
      <c r="M427" s="14" t="s">
        <v>915</v>
      </c>
      <c r="N427" s="15" t="s">
        <v>36</v>
      </c>
    </row>
    <row r="428" spans="1:14" ht="14.4" x14ac:dyDescent="0.3">
      <c r="A428" s="42"/>
      <c r="B428" s="39"/>
      <c r="C428" s="39"/>
      <c r="D428" s="39"/>
      <c r="E428" s="43"/>
      <c r="F428" s="39"/>
      <c r="G428" s="39"/>
      <c r="H428" s="40"/>
      <c r="I428" s="41"/>
      <c r="J428" s="41">
        <f t="shared" si="6"/>
        <v>182</v>
      </c>
      <c r="K428" s="38" t="s">
        <v>43</v>
      </c>
      <c r="L428" s="38" t="s">
        <v>1306</v>
      </c>
      <c r="M428" s="28" t="s">
        <v>916</v>
      </c>
      <c r="N428" s="15" t="s">
        <v>21</v>
      </c>
    </row>
    <row r="429" spans="1:14" ht="14.4" hidden="1" x14ac:dyDescent="0.3">
      <c r="A429" s="42"/>
      <c r="B429" s="39"/>
      <c r="C429" s="39"/>
      <c r="D429" s="39"/>
      <c r="E429" s="43"/>
      <c r="F429" s="39"/>
      <c r="G429" s="39"/>
      <c r="H429" s="40"/>
      <c r="I429" s="41"/>
      <c r="J429" s="41">
        <f t="shared" si="6"/>
        <v>182</v>
      </c>
      <c r="K429" s="38" t="s">
        <v>34</v>
      </c>
      <c r="L429" s="38" t="s">
        <v>1255</v>
      </c>
      <c r="M429" s="14" t="s">
        <v>917</v>
      </c>
      <c r="N429" s="15" t="s">
        <v>36</v>
      </c>
    </row>
    <row r="430" spans="1:14" ht="14.4" hidden="1" x14ac:dyDescent="0.3">
      <c r="A430" s="42"/>
      <c r="B430" s="39"/>
      <c r="C430" s="39"/>
      <c r="D430" s="39"/>
      <c r="E430" s="43"/>
      <c r="F430" s="39"/>
      <c r="G430" s="39"/>
      <c r="H430" s="40"/>
      <c r="I430" s="41"/>
      <c r="J430" s="41">
        <f t="shared" si="6"/>
        <v>182</v>
      </c>
      <c r="K430" s="38" t="s">
        <v>34</v>
      </c>
      <c r="L430" s="38" t="s">
        <v>1255</v>
      </c>
      <c r="M430" s="14" t="s">
        <v>918</v>
      </c>
      <c r="N430" s="15" t="s">
        <v>36</v>
      </c>
    </row>
    <row r="431" spans="1:14" ht="14.4" hidden="1" x14ac:dyDescent="0.3">
      <c r="A431" s="42"/>
      <c r="B431" s="39"/>
      <c r="C431" s="39"/>
      <c r="D431" s="39"/>
      <c r="E431" s="43"/>
      <c r="F431" s="39"/>
      <c r="G431" s="39"/>
      <c r="H431" s="40"/>
      <c r="I431" s="41"/>
      <c r="J431" s="41">
        <f t="shared" si="6"/>
        <v>182</v>
      </c>
      <c r="K431" s="38" t="s">
        <v>34</v>
      </c>
      <c r="L431" s="38" t="s">
        <v>1255</v>
      </c>
      <c r="M431" s="14" t="s">
        <v>919</v>
      </c>
      <c r="N431" s="15" t="s">
        <v>36</v>
      </c>
    </row>
    <row r="432" spans="1:14" ht="14.4" hidden="1" x14ac:dyDescent="0.3">
      <c r="A432" s="42"/>
      <c r="B432" s="39"/>
      <c r="C432" s="39"/>
      <c r="D432" s="39"/>
      <c r="E432" s="43"/>
      <c r="F432" s="39"/>
      <c r="G432" s="39"/>
      <c r="H432" s="40"/>
      <c r="I432" s="41"/>
      <c r="J432" s="41">
        <f t="shared" si="6"/>
        <v>182</v>
      </c>
      <c r="K432" s="38" t="s">
        <v>34</v>
      </c>
      <c r="L432" s="38" t="s">
        <v>1255</v>
      </c>
      <c r="M432" s="14" t="s">
        <v>920</v>
      </c>
      <c r="N432" s="15" t="s">
        <v>36</v>
      </c>
    </row>
    <row r="433" spans="1:14" ht="14.4" hidden="1" x14ac:dyDescent="0.3">
      <c r="A433" s="42"/>
      <c r="B433" s="39"/>
      <c r="C433" s="39"/>
      <c r="D433" s="39"/>
      <c r="E433" s="43"/>
      <c r="F433" s="39"/>
      <c r="G433" s="39"/>
      <c r="H433" s="40"/>
      <c r="I433" s="41"/>
      <c r="J433" s="41">
        <f t="shared" si="6"/>
        <v>182</v>
      </c>
      <c r="K433" s="38" t="s">
        <v>34</v>
      </c>
      <c r="L433" s="38" t="s">
        <v>1255</v>
      </c>
      <c r="M433" s="14" t="s">
        <v>921</v>
      </c>
      <c r="N433" s="15" t="s">
        <v>36</v>
      </c>
    </row>
    <row r="434" spans="1:14" ht="14.4" hidden="1" x14ac:dyDescent="0.3">
      <c r="A434" s="42"/>
      <c r="B434" s="39"/>
      <c r="C434" s="39"/>
      <c r="D434" s="39"/>
      <c r="E434" s="43"/>
      <c r="F434" s="39"/>
      <c r="G434" s="39"/>
      <c r="H434" s="40"/>
      <c r="I434" s="41"/>
      <c r="J434" s="41">
        <f t="shared" si="6"/>
        <v>182</v>
      </c>
      <c r="K434" s="38" t="s">
        <v>34</v>
      </c>
      <c r="L434" s="38" t="s">
        <v>1255</v>
      </c>
      <c r="M434" s="14" t="s">
        <v>922</v>
      </c>
      <c r="N434" s="15" t="s">
        <v>36</v>
      </c>
    </row>
    <row r="435" spans="1:14" ht="14.4" hidden="1" x14ac:dyDescent="0.3">
      <c r="A435" s="42"/>
      <c r="B435" s="39"/>
      <c r="C435" s="39"/>
      <c r="D435" s="39"/>
      <c r="E435" s="43"/>
      <c r="F435" s="39"/>
      <c r="G435" s="39"/>
      <c r="H435" s="40"/>
      <c r="I435" s="41"/>
      <c r="J435" s="41">
        <f t="shared" si="6"/>
        <v>182</v>
      </c>
      <c r="K435" s="38" t="s">
        <v>34</v>
      </c>
      <c r="L435" s="38" t="s">
        <v>1255</v>
      </c>
      <c r="M435" s="14" t="s">
        <v>923</v>
      </c>
      <c r="N435" s="15" t="s">
        <v>36</v>
      </c>
    </row>
    <row r="436" spans="1:14" ht="14.4" hidden="1" x14ac:dyDescent="0.3">
      <c r="A436" s="42"/>
      <c r="B436" s="39"/>
      <c r="C436" s="39"/>
      <c r="D436" s="39"/>
      <c r="E436" s="43"/>
      <c r="F436" s="39"/>
      <c r="G436" s="39"/>
      <c r="H436" s="40"/>
      <c r="I436" s="41"/>
      <c r="J436" s="41">
        <f t="shared" si="6"/>
        <v>182</v>
      </c>
      <c r="K436" s="38" t="s">
        <v>34</v>
      </c>
      <c r="L436" s="38" t="s">
        <v>1255</v>
      </c>
      <c r="M436" s="14" t="s">
        <v>924</v>
      </c>
      <c r="N436" s="15" t="s">
        <v>36</v>
      </c>
    </row>
    <row r="437" spans="1:14" ht="14.4" hidden="1" x14ac:dyDescent="0.3">
      <c r="A437" s="42"/>
      <c r="B437" s="39"/>
      <c r="C437" s="39"/>
      <c r="D437" s="39"/>
      <c r="E437" s="43"/>
      <c r="F437" s="39"/>
      <c r="G437" s="39"/>
      <c r="H437" s="40"/>
      <c r="I437" s="41"/>
      <c r="J437" s="41">
        <f t="shared" si="6"/>
        <v>182</v>
      </c>
      <c r="K437" s="38" t="s">
        <v>34</v>
      </c>
      <c r="L437" s="38" t="s">
        <v>1255</v>
      </c>
      <c r="M437" s="14" t="s">
        <v>925</v>
      </c>
      <c r="N437" s="15" t="s">
        <v>36</v>
      </c>
    </row>
    <row r="438" spans="1:14" ht="14.4" hidden="1" x14ac:dyDescent="0.3">
      <c r="A438" s="42"/>
      <c r="B438" s="39"/>
      <c r="C438" s="39"/>
      <c r="D438" s="39"/>
      <c r="E438" s="43"/>
      <c r="F438" s="39"/>
      <c r="G438" s="39"/>
      <c r="H438" s="40"/>
      <c r="I438" s="41"/>
      <c r="J438" s="41">
        <f t="shared" si="6"/>
        <v>182</v>
      </c>
      <c r="K438" s="38" t="s">
        <v>34</v>
      </c>
      <c r="L438" s="38" t="s">
        <v>1255</v>
      </c>
      <c r="M438" s="14" t="s">
        <v>926</v>
      </c>
      <c r="N438" s="15" t="s">
        <v>36</v>
      </c>
    </row>
    <row r="439" spans="1:14" ht="14.4" hidden="1" x14ac:dyDescent="0.3">
      <c r="A439" s="42"/>
      <c r="B439" s="39"/>
      <c r="C439" s="39"/>
      <c r="D439" s="39"/>
      <c r="E439" s="43"/>
      <c r="F439" s="39"/>
      <c r="G439" s="39"/>
      <c r="H439" s="40"/>
      <c r="I439" s="41"/>
      <c r="J439" s="41">
        <f t="shared" si="6"/>
        <v>182</v>
      </c>
      <c r="K439" s="38" t="s">
        <v>34</v>
      </c>
      <c r="L439" s="38" t="s">
        <v>1255</v>
      </c>
      <c r="M439" s="14" t="s">
        <v>927</v>
      </c>
      <c r="N439" s="15" t="s">
        <v>36</v>
      </c>
    </row>
    <row r="440" spans="1:14" ht="14.4" hidden="1" x14ac:dyDescent="0.3">
      <c r="A440" s="42"/>
      <c r="B440" s="39"/>
      <c r="C440" s="39"/>
      <c r="D440" s="39"/>
      <c r="E440" s="43"/>
      <c r="F440" s="39"/>
      <c r="G440" s="39"/>
      <c r="H440" s="40"/>
      <c r="I440" s="41"/>
      <c r="J440" s="41">
        <f t="shared" si="6"/>
        <v>182</v>
      </c>
      <c r="K440" s="38" t="s">
        <v>34</v>
      </c>
      <c r="L440" s="38" t="s">
        <v>1255</v>
      </c>
      <c r="M440" s="14" t="s">
        <v>928</v>
      </c>
      <c r="N440" s="15" t="s">
        <v>36</v>
      </c>
    </row>
    <row r="441" spans="1:14" ht="14.4" hidden="1" x14ac:dyDescent="0.3">
      <c r="A441" s="42"/>
      <c r="B441" s="39"/>
      <c r="C441" s="39"/>
      <c r="D441" s="39"/>
      <c r="E441" s="43"/>
      <c r="F441" s="39"/>
      <c r="G441" s="39"/>
      <c r="H441" s="40"/>
      <c r="I441" s="41"/>
      <c r="J441" s="41">
        <f t="shared" si="6"/>
        <v>182</v>
      </c>
      <c r="K441" s="38" t="s">
        <v>34</v>
      </c>
      <c r="L441" s="38" t="s">
        <v>1255</v>
      </c>
      <c r="M441" s="14" t="s">
        <v>929</v>
      </c>
      <c r="N441" s="15" t="s">
        <v>36</v>
      </c>
    </row>
    <row r="442" spans="1:14" ht="14.4" hidden="1" x14ac:dyDescent="0.3">
      <c r="A442" s="42"/>
      <c r="B442" s="39"/>
      <c r="C442" s="39"/>
      <c r="D442" s="39"/>
      <c r="E442" s="43"/>
      <c r="F442" s="39"/>
      <c r="G442" s="39"/>
      <c r="H442" s="40"/>
      <c r="I442" s="41"/>
      <c r="J442" s="41">
        <f t="shared" si="6"/>
        <v>182</v>
      </c>
      <c r="K442" s="38" t="s">
        <v>34</v>
      </c>
      <c r="L442" s="38" t="s">
        <v>1255</v>
      </c>
      <c r="M442" s="14" t="s">
        <v>930</v>
      </c>
      <c r="N442" s="15" t="s">
        <v>36</v>
      </c>
    </row>
    <row r="443" spans="1:14" ht="14.4" hidden="1" x14ac:dyDescent="0.3">
      <c r="A443" s="42"/>
      <c r="B443" s="39"/>
      <c r="C443" s="39"/>
      <c r="D443" s="39"/>
      <c r="E443" s="43"/>
      <c r="F443" s="39"/>
      <c r="G443" s="39"/>
      <c r="H443" s="40"/>
      <c r="I443" s="41"/>
      <c r="J443" s="41">
        <f t="shared" si="6"/>
        <v>182</v>
      </c>
      <c r="K443" s="38" t="s">
        <v>34</v>
      </c>
      <c r="L443" s="38" t="s">
        <v>1255</v>
      </c>
      <c r="M443" s="14" t="s">
        <v>931</v>
      </c>
      <c r="N443" s="15" t="s">
        <v>36</v>
      </c>
    </row>
    <row r="444" spans="1:14" ht="14.4" hidden="1" x14ac:dyDescent="0.3">
      <c r="A444" s="42"/>
      <c r="B444" s="39"/>
      <c r="C444" s="39"/>
      <c r="D444" s="39"/>
      <c r="E444" s="43"/>
      <c r="F444" s="39"/>
      <c r="G444" s="39"/>
      <c r="H444" s="40"/>
      <c r="I444" s="41"/>
      <c r="J444" s="41">
        <f t="shared" si="6"/>
        <v>182</v>
      </c>
      <c r="K444" s="38" t="s">
        <v>34</v>
      </c>
      <c r="L444" s="38" t="s">
        <v>1255</v>
      </c>
      <c r="M444" s="14" t="s">
        <v>932</v>
      </c>
      <c r="N444" s="15" t="s">
        <v>36</v>
      </c>
    </row>
    <row r="445" spans="1:14" ht="14.4" hidden="1" x14ac:dyDescent="0.3">
      <c r="A445" s="42"/>
      <c r="B445" s="39"/>
      <c r="C445" s="39"/>
      <c r="D445" s="39"/>
      <c r="E445" s="43"/>
      <c r="F445" s="39"/>
      <c r="G445" s="39"/>
      <c r="H445" s="40"/>
      <c r="I445" s="41"/>
      <c r="J445" s="41">
        <f t="shared" si="6"/>
        <v>182</v>
      </c>
      <c r="K445" s="38" t="s">
        <v>34</v>
      </c>
      <c r="L445" s="38" t="s">
        <v>1255</v>
      </c>
      <c r="M445" s="14" t="s">
        <v>933</v>
      </c>
      <c r="N445" s="15" t="s">
        <v>36</v>
      </c>
    </row>
    <row r="446" spans="1:14" ht="14.4" hidden="1" x14ac:dyDescent="0.3">
      <c r="A446" s="42"/>
      <c r="B446" s="39"/>
      <c r="C446" s="39"/>
      <c r="D446" s="39"/>
      <c r="E446" s="43"/>
      <c r="F446" s="39"/>
      <c r="G446" s="39"/>
      <c r="H446" s="40"/>
      <c r="I446" s="41"/>
      <c r="J446" s="41">
        <f t="shared" si="6"/>
        <v>182</v>
      </c>
      <c r="K446" s="38" t="s">
        <v>34</v>
      </c>
      <c r="L446" s="38" t="s">
        <v>1255</v>
      </c>
      <c r="M446" s="14" t="s">
        <v>934</v>
      </c>
      <c r="N446" s="15" t="s">
        <v>36</v>
      </c>
    </row>
    <row r="447" spans="1:14" ht="14.4" hidden="1" x14ac:dyDescent="0.3">
      <c r="A447" s="42"/>
      <c r="B447" s="39"/>
      <c r="C447" s="39"/>
      <c r="D447" s="39"/>
      <c r="E447" s="43"/>
      <c r="F447" s="39"/>
      <c r="G447" s="39"/>
      <c r="H447" s="40"/>
      <c r="I447" s="41"/>
      <c r="J447" s="41">
        <f t="shared" si="6"/>
        <v>182</v>
      </c>
      <c r="K447" s="38" t="s">
        <v>34</v>
      </c>
      <c r="L447" s="38" t="s">
        <v>1255</v>
      </c>
      <c r="M447" s="14" t="s">
        <v>935</v>
      </c>
      <c r="N447" s="15" t="s">
        <v>36</v>
      </c>
    </row>
    <row r="448" spans="1:14" ht="14.4" hidden="1" x14ac:dyDescent="0.3">
      <c r="A448" s="42"/>
      <c r="B448" s="39"/>
      <c r="C448" s="39"/>
      <c r="D448" s="39"/>
      <c r="E448" s="43"/>
      <c r="F448" s="39"/>
      <c r="G448" s="39"/>
      <c r="H448" s="40"/>
      <c r="I448" s="41"/>
      <c r="J448" s="41">
        <f t="shared" si="6"/>
        <v>182</v>
      </c>
      <c r="K448" s="38" t="s">
        <v>34</v>
      </c>
      <c r="L448" s="38" t="s">
        <v>1255</v>
      </c>
      <c r="M448" s="14" t="s">
        <v>936</v>
      </c>
      <c r="N448" s="15" t="s">
        <v>36</v>
      </c>
    </row>
    <row r="449" spans="1:14" ht="14.4" hidden="1" x14ac:dyDescent="0.3">
      <c r="A449" s="42"/>
      <c r="B449" s="39"/>
      <c r="C449" s="39"/>
      <c r="D449" s="39"/>
      <c r="E449" s="43"/>
      <c r="F449" s="39"/>
      <c r="G449" s="39"/>
      <c r="H449" s="40"/>
      <c r="I449" s="41"/>
      <c r="J449" s="41">
        <f t="shared" si="6"/>
        <v>182</v>
      </c>
      <c r="K449" s="38" t="s">
        <v>34</v>
      </c>
      <c r="L449" s="38" t="s">
        <v>1255</v>
      </c>
      <c r="M449" s="14" t="s">
        <v>937</v>
      </c>
      <c r="N449" s="15" t="s">
        <v>36</v>
      </c>
    </row>
    <row r="450" spans="1:14" ht="14.4" hidden="1" x14ac:dyDescent="0.3">
      <c r="A450" s="42"/>
      <c r="B450" s="39"/>
      <c r="C450" s="39"/>
      <c r="D450" s="39"/>
      <c r="E450" s="43"/>
      <c r="F450" s="39"/>
      <c r="G450" s="39"/>
      <c r="H450" s="40"/>
      <c r="I450" s="41"/>
      <c r="J450" s="41">
        <f t="shared" si="6"/>
        <v>182</v>
      </c>
      <c r="K450" s="38" t="s">
        <v>34</v>
      </c>
      <c r="L450" s="38" t="s">
        <v>1255</v>
      </c>
      <c r="M450" s="14" t="s">
        <v>938</v>
      </c>
      <c r="N450" s="15" t="s">
        <v>36</v>
      </c>
    </row>
    <row r="451" spans="1:14" ht="14.4" hidden="1" x14ac:dyDescent="0.3">
      <c r="A451" s="42"/>
      <c r="B451" s="39"/>
      <c r="C451" s="39"/>
      <c r="D451" s="39"/>
      <c r="E451" s="43"/>
      <c r="F451" s="39"/>
      <c r="G451" s="39"/>
      <c r="H451" s="40"/>
      <c r="I451" s="41"/>
      <c r="J451" s="41">
        <f t="shared" si="6"/>
        <v>182</v>
      </c>
      <c r="K451" s="38" t="s">
        <v>34</v>
      </c>
      <c r="L451" s="38" t="s">
        <v>1255</v>
      </c>
      <c r="M451" s="14" t="s">
        <v>939</v>
      </c>
      <c r="N451" s="15" t="s">
        <v>36</v>
      </c>
    </row>
    <row r="452" spans="1:14" ht="14.4" hidden="1" x14ac:dyDescent="0.3">
      <c r="A452" s="42"/>
      <c r="B452" s="39"/>
      <c r="C452" s="39"/>
      <c r="D452" s="39"/>
      <c r="E452" s="43"/>
      <c r="F452" s="39"/>
      <c r="G452" s="39"/>
      <c r="H452" s="40"/>
      <c r="I452" s="41"/>
      <c r="J452" s="41">
        <f t="shared" si="6"/>
        <v>182</v>
      </c>
      <c r="K452" s="38" t="s">
        <v>34</v>
      </c>
      <c r="L452" s="38" t="s">
        <v>1255</v>
      </c>
      <c r="M452" s="14" t="s">
        <v>940</v>
      </c>
      <c r="N452" s="15" t="s">
        <v>36</v>
      </c>
    </row>
    <row r="453" spans="1:14" ht="14.4" hidden="1" x14ac:dyDescent="0.3">
      <c r="A453" s="42"/>
      <c r="B453" s="39"/>
      <c r="C453" s="39"/>
      <c r="D453" s="39"/>
      <c r="E453" s="43"/>
      <c r="F453" s="39"/>
      <c r="G453" s="39"/>
      <c r="H453" s="40"/>
      <c r="I453" s="41"/>
      <c r="J453" s="41">
        <f t="shared" si="6"/>
        <v>182</v>
      </c>
      <c r="K453" s="38" t="s">
        <v>34</v>
      </c>
      <c r="L453" s="38" t="s">
        <v>1255</v>
      </c>
      <c r="M453" s="14" t="s">
        <v>941</v>
      </c>
      <c r="N453" s="15" t="s">
        <v>36</v>
      </c>
    </row>
    <row r="454" spans="1:14" ht="14.4" hidden="1" x14ac:dyDescent="0.3">
      <c r="A454" s="42"/>
      <c r="B454" s="39"/>
      <c r="C454" s="39"/>
      <c r="D454" s="39"/>
      <c r="E454" s="43"/>
      <c r="F454" s="39"/>
      <c r="G454" s="39"/>
      <c r="H454" s="40"/>
      <c r="I454" s="41"/>
      <c r="J454" s="41">
        <f t="shared" si="6"/>
        <v>182</v>
      </c>
      <c r="K454" s="38" t="s">
        <v>34</v>
      </c>
      <c r="L454" s="38" t="s">
        <v>1255</v>
      </c>
      <c r="M454" s="14" t="s">
        <v>942</v>
      </c>
      <c r="N454" s="15" t="s">
        <v>36</v>
      </c>
    </row>
    <row r="455" spans="1:14" ht="14.4" hidden="1" x14ac:dyDescent="0.3">
      <c r="A455" s="42"/>
      <c r="B455" s="39"/>
      <c r="C455" s="39"/>
      <c r="D455" s="39"/>
      <c r="E455" s="43"/>
      <c r="F455" s="39"/>
      <c r="G455" s="39"/>
      <c r="H455" s="40"/>
      <c r="I455" s="41"/>
      <c r="J455" s="41">
        <f t="shared" si="6"/>
        <v>182</v>
      </c>
      <c r="K455" s="38" t="s">
        <v>34</v>
      </c>
      <c r="L455" s="38" t="s">
        <v>1255</v>
      </c>
      <c r="M455" s="14" t="s">
        <v>943</v>
      </c>
      <c r="N455" s="15" t="s">
        <v>36</v>
      </c>
    </row>
    <row r="456" spans="1:14" ht="14.4" hidden="1" x14ac:dyDescent="0.3">
      <c r="A456" s="42"/>
      <c r="B456" s="39"/>
      <c r="C456" s="39"/>
      <c r="D456" s="39"/>
      <c r="E456" s="43"/>
      <c r="F456" s="39"/>
      <c r="G456" s="39"/>
      <c r="H456" s="40"/>
      <c r="I456" s="41"/>
      <c r="J456" s="41">
        <f t="shared" ref="J456:J519" si="7">EDATE(I456,6)</f>
        <v>182</v>
      </c>
      <c r="K456" s="38" t="s">
        <v>34</v>
      </c>
      <c r="L456" s="38" t="s">
        <v>1255</v>
      </c>
      <c r="M456" s="14" t="s">
        <v>944</v>
      </c>
      <c r="N456" s="15" t="s">
        <v>36</v>
      </c>
    </row>
    <row r="457" spans="1:14" ht="14.4" hidden="1" x14ac:dyDescent="0.3">
      <c r="A457" s="42"/>
      <c r="B457" s="39"/>
      <c r="C457" s="39"/>
      <c r="D457" s="39"/>
      <c r="E457" s="43"/>
      <c r="F457" s="39"/>
      <c r="G457" s="39"/>
      <c r="H457" s="40"/>
      <c r="I457" s="41"/>
      <c r="J457" s="41">
        <f t="shared" si="7"/>
        <v>182</v>
      </c>
      <c r="K457" s="38" t="s">
        <v>34</v>
      </c>
      <c r="L457" s="38" t="s">
        <v>1255</v>
      </c>
      <c r="M457" s="14" t="s">
        <v>945</v>
      </c>
      <c r="N457" s="15" t="s">
        <v>36</v>
      </c>
    </row>
    <row r="458" spans="1:14" ht="14.4" hidden="1" x14ac:dyDescent="0.3">
      <c r="A458" s="42"/>
      <c r="B458" s="39"/>
      <c r="C458" s="39"/>
      <c r="D458" s="39"/>
      <c r="E458" s="43"/>
      <c r="F458" s="39"/>
      <c r="G458" s="39"/>
      <c r="H458" s="40"/>
      <c r="I458" s="41"/>
      <c r="J458" s="41">
        <f t="shared" si="7"/>
        <v>182</v>
      </c>
      <c r="K458" s="38" t="s">
        <v>34</v>
      </c>
      <c r="L458" s="38" t="s">
        <v>1255</v>
      </c>
      <c r="M458" s="14" t="s">
        <v>946</v>
      </c>
      <c r="N458" s="15" t="s">
        <v>36</v>
      </c>
    </row>
    <row r="459" spans="1:14" ht="14.4" hidden="1" x14ac:dyDescent="0.3">
      <c r="A459" s="42"/>
      <c r="B459" s="39"/>
      <c r="C459" s="39"/>
      <c r="D459" s="39"/>
      <c r="E459" s="43"/>
      <c r="F459" s="39"/>
      <c r="G459" s="39"/>
      <c r="H459" s="40"/>
      <c r="I459" s="41"/>
      <c r="J459" s="41">
        <f t="shared" si="7"/>
        <v>182</v>
      </c>
      <c r="K459" s="38" t="s">
        <v>34</v>
      </c>
      <c r="L459" s="38" t="s">
        <v>1255</v>
      </c>
      <c r="M459" s="14" t="s">
        <v>947</v>
      </c>
      <c r="N459" s="15" t="s">
        <v>36</v>
      </c>
    </row>
    <row r="460" spans="1:14" ht="14.4" hidden="1" x14ac:dyDescent="0.3">
      <c r="A460" s="42"/>
      <c r="B460" s="39"/>
      <c r="C460" s="39"/>
      <c r="D460" s="39"/>
      <c r="E460" s="43"/>
      <c r="F460" s="39"/>
      <c r="G460" s="39"/>
      <c r="H460" s="40"/>
      <c r="I460" s="41"/>
      <c r="J460" s="41">
        <f t="shared" si="7"/>
        <v>182</v>
      </c>
      <c r="K460" s="38" t="s">
        <v>34</v>
      </c>
      <c r="L460" s="38" t="s">
        <v>1255</v>
      </c>
      <c r="M460" s="14" t="s">
        <v>948</v>
      </c>
      <c r="N460" s="15" t="s">
        <v>36</v>
      </c>
    </row>
    <row r="461" spans="1:14" ht="14.4" hidden="1" x14ac:dyDescent="0.3">
      <c r="A461" s="42"/>
      <c r="B461" s="39"/>
      <c r="C461" s="39"/>
      <c r="D461" s="39"/>
      <c r="E461" s="43"/>
      <c r="F461" s="39"/>
      <c r="G461" s="39"/>
      <c r="H461" s="40"/>
      <c r="I461" s="41"/>
      <c r="J461" s="41">
        <f t="shared" si="7"/>
        <v>182</v>
      </c>
      <c r="K461" s="38" t="s">
        <v>34</v>
      </c>
      <c r="L461" s="38" t="s">
        <v>1255</v>
      </c>
      <c r="M461" s="14" t="s">
        <v>949</v>
      </c>
      <c r="N461" s="15" t="s">
        <v>36</v>
      </c>
    </row>
    <row r="462" spans="1:14" ht="14.4" hidden="1" x14ac:dyDescent="0.3">
      <c r="A462" s="42"/>
      <c r="B462" s="39"/>
      <c r="C462" s="39"/>
      <c r="D462" s="39"/>
      <c r="E462" s="43"/>
      <c r="F462" s="39"/>
      <c r="G462" s="39"/>
      <c r="H462" s="40"/>
      <c r="I462" s="41"/>
      <c r="J462" s="41">
        <f t="shared" si="7"/>
        <v>182</v>
      </c>
      <c r="K462" s="38" t="s">
        <v>34</v>
      </c>
      <c r="L462" s="38" t="s">
        <v>1255</v>
      </c>
      <c r="M462" s="14" t="s">
        <v>950</v>
      </c>
      <c r="N462" s="15" t="s">
        <v>36</v>
      </c>
    </row>
    <row r="463" spans="1:14" ht="14.4" hidden="1" x14ac:dyDescent="0.3">
      <c r="A463" s="42"/>
      <c r="B463" s="39"/>
      <c r="C463" s="39"/>
      <c r="D463" s="39"/>
      <c r="E463" s="43"/>
      <c r="F463" s="39"/>
      <c r="G463" s="39"/>
      <c r="H463" s="40"/>
      <c r="I463" s="41"/>
      <c r="J463" s="41">
        <f t="shared" si="7"/>
        <v>182</v>
      </c>
      <c r="K463" s="38" t="s">
        <v>34</v>
      </c>
      <c r="L463" s="38" t="s">
        <v>1255</v>
      </c>
      <c r="M463" s="14" t="s">
        <v>951</v>
      </c>
      <c r="N463" s="15" t="s">
        <v>36</v>
      </c>
    </row>
    <row r="464" spans="1:14" ht="14.4" hidden="1" x14ac:dyDescent="0.3">
      <c r="A464" s="42"/>
      <c r="B464" s="39"/>
      <c r="C464" s="39"/>
      <c r="D464" s="39"/>
      <c r="E464" s="43"/>
      <c r="F464" s="39"/>
      <c r="G464" s="39"/>
      <c r="H464" s="40"/>
      <c r="I464" s="41"/>
      <c r="J464" s="41">
        <f t="shared" si="7"/>
        <v>182</v>
      </c>
      <c r="K464" s="38" t="s">
        <v>34</v>
      </c>
      <c r="L464" s="38" t="s">
        <v>1255</v>
      </c>
      <c r="M464" s="14" t="s">
        <v>952</v>
      </c>
      <c r="N464" s="15" t="s">
        <v>36</v>
      </c>
    </row>
    <row r="465" spans="1:14" ht="14.4" hidden="1" x14ac:dyDescent="0.3">
      <c r="A465" s="44"/>
      <c r="B465" s="46"/>
      <c r="C465" s="46"/>
      <c r="D465" s="46"/>
      <c r="E465" s="48"/>
      <c r="F465" s="39"/>
      <c r="G465" s="39"/>
      <c r="H465" s="40"/>
      <c r="I465" s="41"/>
      <c r="J465" s="41">
        <f t="shared" si="7"/>
        <v>182</v>
      </c>
      <c r="K465" s="38" t="s">
        <v>34</v>
      </c>
      <c r="L465" s="38" t="s">
        <v>1255</v>
      </c>
      <c r="M465" s="14" t="s">
        <v>953</v>
      </c>
      <c r="N465" s="15" t="s">
        <v>36</v>
      </c>
    </row>
    <row r="466" spans="1:14" ht="14.4" hidden="1" x14ac:dyDescent="0.3">
      <c r="A466" s="42" t="s">
        <v>954</v>
      </c>
      <c r="B466" s="39" t="s">
        <v>955</v>
      </c>
      <c r="C466" s="39" t="s">
        <v>956</v>
      </c>
      <c r="D466" s="39" t="s">
        <v>957</v>
      </c>
      <c r="E466" s="43">
        <v>7</v>
      </c>
      <c r="F466" s="39" t="s">
        <v>18</v>
      </c>
      <c r="G466" s="39" t="s">
        <v>19</v>
      </c>
      <c r="H466" s="40">
        <v>45771</v>
      </c>
      <c r="I466" s="41">
        <v>45793</v>
      </c>
      <c r="J466" s="41">
        <f t="shared" si="7"/>
        <v>45977</v>
      </c>
      <c r="K466" s="38" t="s">
        <v>34</v>
      </c>
      <c r="L466" s="38" t="s">
        <v>1250</v>
      </c>
      <c r="M466" s="14" t="s">
        <v>958</v>
      </c>
      <c r="N466" s="15" t="s">
        <v>36</v>
      </c>
    </row>
    <row r="467" spans="1:14" ht="14.4" hidden="1" x14ac:dyDescent="0.3">
      <c r="A467" s="42"/>
      <c r="B467" s="39"/>
      <c r="C467" s="39"/>
      <c r="D467" s="39"/>
      <c r="E467" s="43"/>
      <c r="F467" s="39"/>
      <c r="G467" s="39"/>
      <c r="H467" s="40"/>
      <c r="I467" s="41"/>
      <c r="J467" s="41">
        <f t="shared" si="7"/>
        <v>182</v>
      </c>
      <c r="K467" s="38" t="s">
        <v>34</v>
      </c>
      <c r="L467" s="38" t="s">
        <v>1250</v>
      </c>
      <c r="M467" s="14" t="s">
        <v>959</v>
      </c>
      <c r="N467" s="15" t="s">
        <v>36</v>
      </c>
    </row>
    <row r="468" spans="1:14" ht="14.4" hidden="1" x14ac:dyDescent="0.3">
      <c r="A468" s="17" t="s">
        <v>960</v>
      </c>
      <c r="B468" s="18" t="s">
        <v>961</v>
      </c>
      <c r="C468" s="19" t="s">
        <v>962</v>
      </c>
      <c r="D468" s="20" t="s">
        <v>197</v>
      </c>
      <c r="E468" s="21">
        <v>7</v>
      </c>
      <c r="F468" s="12" t="s">
        <v>18</v>
      </c>
      <c r="G468" s="12" t="s">
        <v>19</v>
      </c>
      <c r="H468" s="13">
        <v>45771</v>
      </c>
      <c r="I468" s="22">
        <v>45793</v>
      </c>
      <c r="J468" s="22">
        <f t="shared" si="7"/>
        <v>45977</v>
      </c>
      <c r="K468" s="38" t="s">
        <v>34</v>
      </c>
      <c r="L468" s="38" t="s">
        <v>1251</v>
      </c>
      <c r="M468" s="14" t="s">
        <v>963</v>
      </c>
      <c r="N468" s="15" t="s">
        <v>36</v>
      </c>
    </row>
    <row r="469" spans="1:14" ht="14.4" hidden="1" x14ac:dyDescent="0.3">
      <c r="A469" s="17" t="s">
        <v>964</v>
      </c>
      <c r="B469" s="18" t="s">
        <v>965</v>
      </c>
      <c r="C469" s="19" t="s">
        <v>966</v>
      </c>
      <c r="D469" s="20" t="s">
        <v>967</v>
      </c>
      <c r="E469" s="21">
        <v>5</v>
      </c>
      <c r="F469" s="12" t="s">
        <v>18</v>
      </c>
      <c r="G469" s="12" t="s">
        <v>19</v>
      </c>
      <c r="H469" s="13">
        <v>45771</v>
      </c>
      <c r="I469" s="22">
        <v>45793</v>
      </c>
      <c r="J469" s="22">
        <f t="shared" si="7"/>
        <v>45977</v>
      </c>
      <c r="K469" s="38" t="s">
        <v>43</v>
      </c>
      <c r="L469" s="38" t="s">
        <v>1251</v>
      </c>
      <c r="M469" s="28" t="s">
        <v>968</v>
      </c>
      <c r="N469" s="15" t="s">
        <v>36</v>
      </c>
    </row>
    <row r="470" spans="1:14" ht="14.4" x14ac:dyDescent="0.3">
      <c r="A470" s="9" t="s">
        <v>969</v>
      </c>
      <c r="B470" s="25" t="s">
        <v>970</v>
      </c>
      <c r="C470" s="26" t="s">
        <v>971</v>
      </c>
      <c r="D470" s="10" t="s">
        <v>972</v>
      </c>
      <c r="E470" s="11">
        <v>1</v>
      </c>
      <c r="F470" s="12" t="s">
        <v>18</v>
      </c>
      <c r="G470" s="12" t="s">
        <v>19</v>
      </c>
      <c r="H470" s="13">
        <v>45771</v>
      </c>
      <c r="I470" s="22">
        <v>45793</v>
      </c>
      <c r="J470" s="22">
        <f t="shared" si="7"/>
        <v>45977</v>
      </c>
      <c r="K470" s="37">
        <v>45853</v>
      </c>
      <c r="L470" s="38" t="s">
        <v>1279</v>
      </c>
      <c r="M470" s="14" t="s">
        <v>973</v>
      </c>
      <c r="N470" s="15" t="s">
        <v>21</v>
      </c>
    </row>
    <row r="471" spans="1:14" ht="14.4" hidden="1" x14ac:dyDescent="0.3">
      <c r="A471" s="42" t="s">
        <v>974</v>
      </c>
      <c r="B471" s="39" t="s">
        <v>975</v>
      </c>
      <c r="C471" s="39" t="s">
        <v>976</v>
      </c>
      <c r="D471" s="39" t="s">
        <v>67</v>
      </c>
      <c r="E471" s="43" t="e">
        <f>VLOOKUP(D471,$H$5:I470,2,)</f>
        <v>#N/A</v>
      </c>
      <c r="F471" s="39" t="s">
        <v>18</v>
      </c>
      <c r="G471" s="39" t="s">
        <v>19</v>
      </c>
      <c r="H471" s="40">
        <v>45772</v>
      </c>
      <c r="I471" s="41">
        <v>45796</v>
      </c>
      <c r="J471" s="41">
        <f t="shared" si="7"/>
        <v>45980</v>
      </c>
      <c r="K471" s="38" t="s">
        <v>43</v>
      </c>
      <c r="L471" s="38" t="s">
        <v>1255</v>
      </c>
      <c r="M471" s="28" t="s">
        <v>977</v>
      </c>
      <c r="N471" s="15" t="s">
        <v>36</v>
      </c>
    </row>
    <row r="472" spans="1:14" ht="14.4" hidden="1" x14ac:dyDescent="0.3">
      <c r="A472" s="42"/>
      <c r="B472" s="39"/>
      <c r="C472" s="39"/>
      <c r="D472" s="39"/>
      <c r="E472" s="43"/>
      <c r="F472" s="39"/>
      <c r="G472" s="39"/>
      <c r="H472" s="40"/>
      <c r="I472" s="41"/>
      <c r="J472" s="41">
        <f t="shared" si="7"/>
        <v>182</v>
      </c>
      <c r="K472" s="38" t="s">
        <v>43</v>
      </c>
      <c r="L472" s="38" t="s">
        <v>1255</v>
      </c>
      <c r="M472" s="28" t="s">
        <v>978</v>
      </c>
      <c r="N472" s="15" t="s">
        <v>36</v>
      </c>
    </row>
    <row r="473" spans="1:14" ht="14.4" hidden="1" x14ac:dyDescent="0.3">
      <c r="A473" s="42"/>
      <c r="B473" s="39"/>
      <c r="C473" s="39"/>
      <c r="D473" s="39"/>
      <c r="E473" s="43"/>
      <c r="F473" s="39"/>
      <c r="G473" s="39"/>
      <c r="H473" s="40"/>
      <c r="I473" s="41"/>
      <c r="J473" s="41">
        <f t="shared" si="7"/>
        <v>182</v>
      </c>
      <c r="K473" s="38" t="s">
        <v>43</v>
      </c>
      <c r="L473" s="38" t="s">
        <v>1255</v>
      </c>
      <c r="M473" s="28" t="s">
        <v>979</v>
      </c>
      <c r="N473" s="15" t="s">
        <v>36</v>
      </c>
    </row>
    <row r="474" spans="1:14" ht="14.4" hidden="1" x14ac:dyDescent="0.3">
      <c r="A474" s="42"/>
      <c r="B474" s="39"/>
      <c r="C474" s="39"/>
      <c r="D474" s="39"/>
      <c r="E474" s="43"/>
      <c r="F474" s="39"/>
      <c r="G474" s="39"/>
      <c r="H474" s="40"/>
      <c r="I474" s="41"/>
      <c r="J474" s="41">
        <f t="shared" si="7"/>
        <v>182</v>
      </c>
      <c r="K474" s="38" t="s">
        <v>43</v>
      </c>
      <c r="L474" s="38" t="s">
        <v>1255</v>
      </c>
      <c r="M474" s="28" t="s">
        <v>980</v>
      </c>
      <c r="N474" s="15" t="s">
        <v>36</v>
      </c>
    </row>
    <row r="475" spans="1:14" ht="14.4" hidden="1" x14ac:dyDescent="0.3">
      <c r="A475" s="42"/>
      <c r="B475" s="39"/>
      <c r="C475" s="39"/>
      <c r="D475" s="39"/>
      <c r="E475" s="43"/>
      <c r="F475" s="39"/>
      <c r="G475" s="39"/>
      <c r="H475" s="40"/>
      <c r="I475" s="41"/>
      <c r="J475" s="41">
        <f t="shared" si="7"/>
        <v>182</v>
      </c>
      <c r="K475" s="38" t="s">
        <v>43</v>
      </c>
      <c r="L475" s="38" t="s">
        <v>1255</v>
      </c>
      <c r="M475" s="28" t="s">
        <v>981</v>
      </c>
      <c r="N475" s="15" t="s">
        <v>36</v>
      </c>
    </row>
    <row r="476" spans="1:14" ht="14.4" hidden="1" x14ac:dyDescent="0.3">
      <c r="A476" s="42"/>
      <c r="B476" s="39"/>
      <c r="C476" s="39"/>
      <c r="D476" s="39"/>
      <c r="E476" s="43"/>
      <c r="F476" s="39"/>
      <c r="G476" s="39"/>
      <c r="H476" s="40"/>
      <c r="I476" s="41"/>
      <c r="J476" s="41">
        <f t="shared" si="7"/>
        <v>182</v>
      </c>
      <c r="K476" s="38" t="s">
        <v>43</v>
      </c>
      <c r="L476" s="38" t="s">
        <v>1255</v>
      </c>
      <c r="M476" s="28" t="s">
        <v>982</v>
      </c>
      <c r="N476" s="15" t="s">
        <v>36</v>
      </c>
    </row>
    <row r="477" spans="1:14" ht="14.4" hidden="1" x14ac:dyDescent="0.3">
      <c r="A477" s="42"/>
      <c r="B477" s="39"/>
      <c r="C477" s="39"/>
      <c r="D477" s="39"/>
      <c r="E477" s="43"/>
      <c r="F477" s="39"/>
      <c r="G477" s="39"/>
      <c r="H477" s="40"/>
      <c r="I477" s="41"/>
      <c r="J477" s="41">
        <f t="shared" si="7"/>
        <v>182</v>
      </c>
      <c r="K477" s="38" t="s">
        <v>43</v>
      </c>
      <c r="L477" s="38" t="s">
        <v>1255</v>
      </c>
      <c r="M477" s="28" t="s">
        <v>983</v>
      </c>
      <c r="N477" s="15" t="s">
        <v>36</v>
      </c>
    </row>
    <row r="478" spans="1:14" ht="14.4" hidden="1" x14ac:dyDescent="0.3">
      <c r="A478" s="9" t="s">
        <v>984</v>
      </c>
      <c r="B478" s="25" t="s">
        <v>985</v>
      </c>
      <c r="C478" s="26" t="s">
        <v>986</v>
      </c>
      <c r="D478" s="10" t="s">
        <v>233</v>
      </c>
      <c r="E478" s="11">
        <v>7</v>
      </c>
      <c r="F478" s="12" t="s">
        <v>18</v>
      </c>
      <c r="G478" s="12" t="s">
        <v>19</v>
      </c>
      <c r="H478" s="13">
        <v>45772</v>
      </c>
      <c r="I478" s="22">
        <v>45796</v>
      </c>
      <c r="J478" s="22">
        <f t="shared" si="7"/>
        <v>45980</v>
      </c>
      <c r="K478" s="38" t="s">
        <v>43</v>
      </c>
      <c r="L478" s="38" t="s">
        <v>1260</v>
      </c>
      <c r="M478" s="28" t="s">
        <v>987</v>
      </c>
      <c r="N478" s="15" t="s">
        <v>36</v>
      </c>
    </row>
    <row r="479" spans="1:14" ht="14.4" hidden="1" x14ac:dyDescent="0.3">
      <c r="A479" s="42" t="s">
        <v>988</v>
      </c>
      <c r="B479" s="39" t="s">
        <v>989</v>
      </c>
      <c r="C479" s="39" t="s">
        <v>990</v>
      </c>
      <c r="D479" s="39" t="s">
        <v>117</v>
      </c>
      <c r="E479" s="43">
        <v>6</v>
      </c>
      <c r="F479" s="39" t="s">
        <v>18</v>
      </c>
      <c r="G479" s="39" t="s">
        <v>19</v>
      </c>
      <c r="H479" s="40">
        <v>45772</v>
      </c>
      <c r="I479" s="41">
        <v>45796</v>
      </c>
      <c r="J479" s="41">
        <f t="shared" si="7"/>
        <v>45980</v>
      </c>
      <c r="K479" s="38" t="s">
        <v>43</v>
      </c>
      <c r="L479" s="38" t="s">
        <v>1250</v>
      </c>
      <c r="M479" s="28" t="s">
        <v>991</v>
      </c>
      <c r="N479" s="15" t="s">
        <v>36</v>
      </c>
    </row>
    <row r="480" spans="1:14" ht="14.4" hidden="1" x14ac:dyDescent="0.3">
      <c r="A480" s="42"/>
      <c r="B480" s="39"/>
      <c r="C480" s="39"/>
      <c r="D480" s="39"/>
      <c r="E480" s="43"/>
      <c r="F480" s="39"/>
      <c r="G480" s="39"/>
      <c r="H480" s="40"/>
      <c r="I480" s="41"/>
      <c r="J480" s="41">
        <f t="shared" si="7"/>
        <v>182</v>
      </c>
      <c r="K480" s="38" t="s">
        <v>43</v>
      </c>
      <c r="L480" s="38" t="s">
        <v>1250</v>
      </c>
      <c r="M480" s="28" t="s">
        <v>992</v>
      </c>
      <c r="N480" s="15" t="s">
        <v>36</v>
      </c>
    </row>
    <row r="481" spans="1:14" ht="14.4" hidden="1" x14ac:dyDescent="0.3">
      <c r="A481" s="42"/>
      <c r="B481" s="39"/>
      <c r="C481" s="39"/>
      <c r="D481" s="39"/>
      <c r="E481" s="43"/>
      <c r="F481" s="39"/>
      <c r="G481" s="39"/>
      <c r="H481" s="40"/>
      <c r="I481" s="41"/>
      <c r="J481" s="41">
        <f t="shared" si="7"/>
        <v>182</v>
      </c>
      <c r="K481" s="38" t="s">
        <v>43</v>
      </c>
      <c r="L481" s="38" t="s">
        <v>1250</v>
      </c>
      <c r="M481" s="28" t="s">
        <v>993</v>
      </c>
      <c r="N481" s="15" t="s">
        <v>36</v>
      </c>
    </row>
    <row r="482" spans="1:14" ht="14.4" hidden="1" x14ac:dyDescent="0.3">
      <c r="A482" s="42"/>
      <c r="B482" s="39"/>
      <c r="C482" s="39"/>
      <c r="D482" s="39"/>
      <c r="E482" s="43"/>
      <c r="F482" s="39"/>
      <c r="G482" s="39"/>
      <c r="H482" s="40"/>
      <c r="I482" s="41"/>
      <c r="J482" s="41">
        <f t="shared" si="7"/>
        <v>182</v>
      </c>
      <c r="K482" s="38" t="s">
        <v>43</v>
      </c>
      <c r="L482" s="38" t="s">
        <v>1250</v>
      </c>
      <c r="M482" s="28" t="s">
        <v>994</v>
      </c>
      <c r="N482" s="15" t="s">
        <v>36</v>
      </c>
    </row>
    <row r="483" spans="1:14" ht="14.4" hidden="1" x14ac:dyDescent="0.3">
      <c r="A483" s="42"/>
      <c r="B483" s="39"/>
      <c r="C483" s="39"/>
      <c r="D483" s="39"/>
      <c r="E483" s="43"/>
      <c r="F483" s="39"/>
      <c r="G483" s="39"/>
      <c r="H483" s="40"/>
      <c r="I483" s="41"/>
      <c r="J483" s="41">
        <f t="shared" si="7"/>
        <v>182</v>
      </c>
      <c r="K483" s="38" t="s">
        <v>43</v>
      </c>
      <c r="L483" s="38" t="s">
        <v>1250</v>
      </c>
      <c r="M483" s="28" t="s">
        <v>995</v>
      </c>
      <c r="N483" s="15" t="s">
        <v>36</v>
      </c>
    </row>
    <row r="484" spans="1:14" ht="14.4" hidden="1" x14ac:dyDescent="0.3">
      <c r="A484" s="17" t="s">
        <v>996</v>
      </c>
      <c r="B484" s="18" t="s">
        <v>997</v>
      </c>
      <c r="C484" s="19" t="s">
        <v>998</v>
      </c>
      <c r="D484" s="20" t="s">
        <v>233</v>
      </c>
      <c r="E484" s="21">
        <v>7</v>
      </c>
      <c r="F484" s="12" t="s">
        <v>18</v>
      </c>
      <c r="G484" s="12" t="s">
        <v>19</v>
      </c>
      <c r="H484" s="13">
        <v>45772</v>
      </c>
      <c r="I484" s="22">
        <v>45796</v>
      </c>
      <c r="J484" s="22">
        <f t="shared" si="7"/>
        <v>45980</v>
      </c>
      <c r="K484" s="38" t="s">
        <v>34</v>
      </c>
      <c r="L484" s="38" t="s">
        <v>1251</v>
      </c>
      <c r="M484" s="14" t="s">
        <v>999</v>
      </c>
      <c r="N484" s="15" t="s">
        <v>36</v>
      </c>
    </row>
    <row r="485" spans="1:14" ht="14.4" x14ac:dyDescent="0.3">
      <c r="A485" s="17" t="s">
        <v>1000</v>
      </c>
      <c r="B485" s="18" t="s">
        <v>1001</v>
      </c>
      <c r="C485" s="19" t="s">
        <v>1002</v>
      </c>
      <c r="D485" s="20" t="s">
        <v>771</v>
      </c>
      <c r="E485" s="21">
        <v>5</v>
      </c>
      <c r="F485" s="12" t="s">
        <v>18</v>
      </c>
      <c r="G485" s="12" t="s">
        <v>19</v>
      </c>
      <c r="H485" s="13">
        <v>45772</v>
      </c>
      <c r="I485" s="22">
        <v>45796</v>
      </c>
      <c r="J485" s="22">
        <f t="shared" si="7"/>
        <v>45980</v>
      </c>
      <c r="K485" s="37">
        <v>45827</v>
      </c>
      <c r="L485" s="38" t="s">
        <v>1249</v>
      </c>
      <c r="M485" s="14" t="s">
        <v>1003</v>
      </c>
      <c r="N485" s="15" t="s">
        <v>21</v>
      </c>
    </row>
    <row r="486" spans="1:14" ht="14.4" x14ac:dyDescent="0.3">
      <c r="A486" s="9" t="s">
        <v>1004</v>
      </c>
      <c r="B486" s="25" t="s">
        <v>1005</v>
      </c>
      <c r="C486" s="26" t="s">
        <v>881</v>
      </c>
      <c r="D486" s="10" t="s">
        <v>1006</v>
      </c>
      <c r="E486" s="11">
        <v>1</v>
      </c>
      <c r="F486" s="12" t="s">
        <v>18</v>
      </c>
      <c r="G486" s="12" t="s">
        <v>19</v>
      </c>
      <c r="H486" s="13">
        <v>45775</v>
      </c>
      <c r="I486" s="22">
        <v>45797</v>
      </c>
      <c r="J486" s="22">
        <f t="shared" si="7"/>
        <v>45981</v>
      </c>
      <c r="K486" s="37">
        <v>45853</v>
      </c>
      <c r="L486" s="38" t="s">
        <v>1279</v>
      </c>
      <c r="M486" s="14" t="s">
        <v>883</v>
      </c>
      <c r="N486" s="15" t="s">
        <v>21</v>
      </c>
    </row>
    <row r="487" spans="1:14" ht="14.4" hidden="1" x14ac:dyDescent="0.3">
      <c r="A487" s="42" t="s">
        <v>1007</v>
      </c>
      <c r="B487" s="39" t="s">
        <v>1008</v>
      </c>
      <c r="C487" s="39" t="s">
        <v>1009</v>
      </c>
      <c r="D487" s="39" t="s">
        <v>1010</v>
      </c>
      <c r="E487" s="43">
        <v>8</v>
      </c>
      <c r="F487" s="39" t="s">
        <v>18</v>
      </c>
      <c r="G487" s="39" t="s">
        <v>19</v>
      </c>
      <c r="H487" s="40">
        <v>45775</v>
      </c>
      <c r="I487" s="41">
        <v>45797</v>
      </c>
      <c r="J487" s="41">
        <f t="shared" si="7"/>
        <v>45981</v>
      </c>
      <c r="K487" s="38" t="s">
        <v>34</v>
      </c>
      <c r="L487" s="38" t="s">
        <v>1251</v>
      </c>
      <c r="M487" s="14" t="s">
        <v>1011</v>
      </c>
      <c r="N487" s="15" t="s">
        <v>36</v>
      </c>
    </row>
    <row r="488" spans="1:14" ht="14.4" hidden="1" x14ac:dyDescent="0.3">
      <c r="A488" s="42"/>
      <c r="B488" s="39"/>
      <c r="C488" s="39"/>
      <c r="D488" s="39"/>
      <c r="E488" s="43"/>
      <c r="F488" s="39"/>
      <c r="G488" s="39"/>
      <c r="H488" s="40"/>
      <c r="I488" s="41"/>
      <c r="J488" s="41">
        <f t="shared" si="7"/>
        <v>182</v>
      </c>
      <c r="K488" s="38" t="s">
        <v>43</v>
      </c>
      <c r="L488" s="38" t="s">
        <v>1260</v>
      </c>
      <c r="M488" s="28" t="s">
        <v>1012</v>
      </c>
      <c r="N488" s="15" t="s">
        <v>36</v>
      </c>
    </row>
    <row r="489" spans="1:14" ht="14.4" hidden="1" x14ac:dyDescent="0.3">
      <c r="A489" s="9" t="s">
        <v>1013</v>
      </c>
      <c r="B489" s="25" t="s">
        <v>1014</v>
      </c>
      <c r="C489" s="26" t="s">
        <v>1015</v>
      </c>
      <c r="D489" s="10" t="s">
        <v>41</v>
      </c>
      <c r="E489" s="11">
        <v>8</v>
      </c>
      <c r="F489" s="12" t="s">
        <v>18</v>
      </c>
      <c r="G489" s="12" t="s">
        <v>19</v>
      </c>
      <c r="H489" s="13">
        <v>45776</v>
      </c>
      <c r="I489" s="22">
        <v>45798</v>
      </c>
      <c r="J489" s="22">
        <f t="shared" si="7"/>
        <v>45982</v>
      </c>
      <c r="K489" s="38" t="s">
        <v>43</v>
      </c>
      <c r="L489" s="38" t="s">
        <v>1260</v>
      </c>
      <c r="M489" s="28" t="s">
        <v>1016</v>
      </c>
      <c r="N489" s="15" t="s">
        <v>36</v>
      </c>
    </row>
    <row r="490" spans="1:14" ht="14.4" hidden="1" x14ac:dyDescent="0.3">
      <c r="A490" s="42" t="s">
        <v>1017</v>
      </c>
      <c r="B490" s="39" t="s">
        <v>1018</v>
      </c>
      <c r="C490" s="39" t="s">
        <v>1019</v>
      </c>
      <c r="D490" s="39" t="s">
        <v>1020</v>
      </c>
      <c r="E490" s="43">
        <v>6</v>
      </c>
      <c r="F490" s="39" t="s">
        <v>18</v>
      </c>
      <c r="G490" s="39" t="s">
        <v>19</v>
      </c>
      <c r="H490" s="40">
        <v>45776</v>
      </c>
      <c r="I490" s="41">
        <v>45798</v>
      </c>
      <c r="J490" s="41">
        <f t="shared" si="7"/>
        <v>45982</v>
      </c>
      <c r="K490" s="38" t="s">
        <v>43</v>
      </c>
      <c r="L490" s="38" t="s">
        <v>1260</v>
      </c>
      <c r="M490" s="28">
        <v>1669497</v>
      </c>
      <c r="N490" s="15" t="s">
        <v>73</v>
      </c>
    </row>
    <row r="491" spans="1:14" ht="14.4" hidden="1" x14ac:dyDescent="0.3">
      <c r="A491" s="42"/>
      <c r="B491" s="39"/>
      <c r="C491" s="39"/>
      <c r="D491" s="39"/>
      <c r="E491" s="43"/>
      <c r="F491" s="39"/>
      <c r="G491" s="39"/>
      <c r="H491" s="40"/>
      <c r="I491" s="41"/>
      <c r="J491" s="41">
        <f t="shared" si="7"/>
        <v>182</v>
      </c>
      <c r="K491" s="38" t="s">
        <v>43</v>
      </c>
      <c r="L491" s="38" t="s">
        <v>1260</v>
      </c>
      <c r="M491" s="28">
        <v>1750714</v>
      </c>
      <c r="N491" s="15" t="s">
        <v>73</v>
      </c>
    </row>
    <row r="492" spans="1:14" ht="14.4" hidden="1" x14ac:dyDescent="0.3">
      <c r="A492" s="42" t="s">
        <v>1021</v>
      </c>
      <c r="B492" s="39" t="s">
        <v>1022</v>
      </c>
      <c r="C492" s="39" t="s">
        <v>1023</v>
      </c>
      <c r="D492" s="39" t="s">
        <v>1024</v>
      </c>
      <c r="E492" s="43">
        <v>6</v>
      </c>
      <c r="F492" s="39" t="s">
        <v>18</v>
      </c>
      <c r="G492" s="39" t="s">
        <v>19</v>
      </c>
      <c r="H492" s="40">
        <v>45776</v>
      </c>
      <c r="I492" s="41">
        <v>45798</v>
      </c>
      <c r="J492" s="41">
        <f t="shared" si="7"/>
        <v>45982</v>
      </c>
      <c r="K492" s="38" t="s">
        <v>34</v>
      </c>
      <c r="L492" s="38" t="s">
        <v>1250</v>
      </c>
      <c r="M492" s="14" t="s">
        <v>1025</v>
      </c>
      <c r="N492" s="15" t="s">
        <v>36</v>
      </c>
    </row>
    <row r="493" spans="1:14" ht="14.4" hidden="1" x14ac:dyDescent="0.3">
      <c r="A493" s="42"/>
      <c r="B493" s="39"/>
      <c r="C493" s="39"/>
      <c r="D493" s="39"/>
      <c r="E493" s="43"/>
      <c r="F493" s="39"/>
      <c r="G493" s="39"/>
      <c r="H493" s="40"/>
      <c r="I493" s="41"/>
      <c r="J493" s="41">
        <f t="shared" si="7"/>
        <v>182</v>
      </c>
      <c r="K493" s="38" t="s">
        <v>34</v>
      </c>
      <c r="L493" s="38" t="s">
        <v>1250</v>
      </c>
      <c r="M493" s="14" t="s">
        <v>1026</v>
      </c>
      <c r="N493" s="15" t="s">
        <v>36</v>
      </c>
    </row>
    <row r="494" spans="1:14" ht="14.4" hidden="1" x14ac:dyDescent="0.3">
      <c r="A494" s="9" t="s">
        <v>1027</v>
      </c>
      <c r="B494" s="25" t="s">
        <v>1028</v>
      </c>
      <c r="C494" s="26" t="s">
        <v>1029</v>
      </c>
      <c r="D494" s="10" t="s">
        <v>341</v>
      </c>
      <c r="E494" s="11">
        <v>1</v>
      </c>
      <c r="F494" s="12" t="s">
        <v>18</v>
      </c>
      <c r="G494" s="12" t="s">
        <v>19</v>
      </c>
      <c r="H494" s="13">
        <v>45777</v>
      </c>
      <c r="I494" s="22">
        <v>45799</v>
      </c>
      <c r="J494" s="22">
        <f t="shared" si="7"/>
        <v>45983</v>
      </c>
      <c r="K494" s="38" t="s">
        <v>43</v>
      </c>
      <c r="L494" s="38" t="s">
        <v>1263</v>
      </c>
      <c r="M494" s="14" t="s">
        <v>1030</v>
      </c>
      <c r="N494" s="15" t="s">
        <v>43</v>
      </c>
    </row>
    <row r="495" spans="1:14" ht="14.4" hidden="1" x14ac:dyDescent="0.3">
      <c r="A495" s="42" t="s">
        <v>1031</v>
      </c>
      <c r="B495" s="39" t="s">
        <v>136</v>
      </c>
      <c r="C495" s="39" t="s">
        <v>891</v>
      </c>
      <c r="D495" s="39" t="s">
        <v>138</v>
      </c>
      <c r="E495" s="43">
        <v>5</v>
      </c>
      <c r="F495" s="39" t="s">
        <v>18</v>
      </c>
      <c r="G495" s="39" t="s">
        <v>19</v>
      </c>
      <c r="H495" s="40">
        <v>45777</v>
      </c>
      <c r="I495" s="41">
        <v>45799</v>
      </c>
      <c r="J495" s="41">
        <f t="shared" si="7"/>
        <v>45983</v>
      </c>
      <c r="K495" s="38" t="s">
        <v>43</v>
      </c>
      <c r="L495" s="38" t="s">
        <v>1260</v>
      </c>
      <c r="M495" s="28" t="s">
        <v>892</v>
      </c>
      <c r="N495" s="15" t="s">
        <v>73</v>
      </c>
    </row>
    <row r="496" spans="1:14" ht="14.4" hidden="1" x14ac:dyDescent="0.3">
      <c r="A496" s="42"/>
      <c r="B496" s="39"/>
      <c r="C496" s="39"/>
      <c r="D496" s="39"/>
      <c r="E496" s="43"/>
      <c r="F496" s="39"/>
      <c r="G496" s="39"/>
      <c r="H496" s="40"/>
      <c r="I496" s="41"/>
      <c r="J496" s="41">
        <f t="shared" si="7"/>
        <v>182</v>
      </c>
      <c r="K496" s="38" t="s">
        <v>43</v>
      </c>
      <c r="L496" s="38" t="s">
        <v>1260</v>
      </c>
      <c r="M496" s="28" t="s">
        <v>893</v>
      </c>
      <c r="N496" s="15" t="s">
        <v>73</v>
      </c>
    </row>
    <row r="497" spans="1:14" ht="14.4" hidden="1" x14ac:dyDescent="0.3">
      <c r="A497" s="42"/>
      <c r="B497" s="39"/>
      <c r="C497" s="39"/>
      <c r="D497" s="39"/>
      <c r="E497" s="43"/>
      <c r="F497" s="39"/>
      <c r="G497" s="39"/>
      <c r="H497" s="40"/>
      <c r="I497" s="41"/>
      <c r="J497" s="41">
        <f t="shared" si="7"/>
        <v>182</v>
      </c>
      <c r="K497" s="38" t="s">
        <v>43</v>
      </c>
      <c r="L497" s="38" t="s">
        <v>1260</v>
      </c>
      <c r="M497" s="28" t="s">
        <v>894</v>
      </c>
      <c r="N497" s="15" t="s">
        <v>73</v>
      </c>
    </row>
    <row r="498" spans="1:14" ht="14.4" hidden="1" x14ac:dyDescent="0.3">
      <c r="A498" s="9" t="s">
        <v>1032</v>
      </c>
      <c r="B498" s="25" t="s">
        <v>1033</v>
      </c>
      <c r="C498" s="26" t="s">
        <v>1034</v>
      </c>
      <c r="D498" s="10" t="s">
        <v>123</v>
      </c>
      <c r="E498" s="11">
        <v>4</v>
      </c>
      <c r="F498" s="12" t="s">
        <v>18</v>
      </c>
      <c r="G498" s="12" t="s">
        <v>19</v>
      </c>
      <c r="H498" s="13">
        <v>45779</v>
      </c>
      <c r="I498" s="22">
        <v>45800</v>
      </c>
      <c r="J498" s="22">
        <f t="shared" si="7"/>
        <v>45984</v>
      </c>
      <c r="K498" s="38" t="s">
        <v>43</v>
      </c>
      <c r="L498" s="38" t="s">
        <v>43</v>
      </c>
      <c r="M498" s="28" t="s">
        <v>1035</v>
      </c>
      <c r="N498" s="15" t="s">
        <v>73</v>
      </c>
    </row>
    <row r="499" spans="1:14" ht="14.4" hidden="1" x14ac:dyDescent="0.3">
      <c r="A499" s="42" t="s">
        <v>1036</v>
      </c>
      <c r="B499" s="39" t="s">
        <v>1037</v>
      </c>
      <c r="C499" s="39" t="s">
        <v>1038</v>
      </c>
      <c r="D499" s="39" t="s">
        <v>304</v>
      </c>
      <c r="E499" s="43">
        <v>6</v>
      </c>
      <c r="F499" s="39" t="s">
        <v>18</v>
      </c>
      <c r="G499" s="39" t="s">
        <v>19</v>
      </c>
      <c r="H499" s="40">
        <v>45779</v>
      </c>
      <c r="I499" s="41">
        <v>45800</v>
      </c>
      <c r="J499" s="41">
        <f t="shared" si="7"/>
        <v>45984</v>
      </c>
      <c r="K499" s="38" t="s">
        <v>34</v>
      </c>
      <c r="L499" s="38" t="s">
        <v>1250</v>
      </c>
      <c r="M499" s="14" t="s">
        <v>1039</v>
      </c>
      <c r="N499" s="15" t="s">
        <v>36</v>
      </c>
    </row>
    <row r="500" spans="1:14" ht="14.4" hidden="1" x14ac:dyDescent="0.3">
      <c r="A500" s="42"/>
      <c r="B500" s="39"/>
      <c r="C500" s="39"/>
      <c r="D500" s="39"/>
      <c r="E500" s="43"/>
      <c r="F500" s="39"/>
      <c r="G500" s="39"/>
      <c r="H500" s="40"/>
      <c r="I500" s="41"/>
      <c r="J500" s="41">
        <f t="shared" si="7"/>
        <v>182</v>
      </c>
      <c r="K500" s="38" t="s">
        <v>34</v>
      </c>
      <c r="L500" s="38" t="s">
        <v>1250</v>
      </c>
      <c r="M500" s="14" t="s">
        <v>1040</v>
      </c>
      <c r="N500" s="15" t="s">
        <v>36</v>
      </c>
    </row>
    <row r="501" spans="1:14" ht="14.4" hidden="1" x14ac:dyDescent="0.3">
      <c r="A501" s="42" t="s">
        <v>1041</v>
      </c>
      <c r="B501" s="39" t="s">
        <v>1042</v>
      </c>
      <c r="C501" s="39" t="s">
        <v>1043</v>
      </c>
      <c r="D501" s="39" t="s">
        <v>1044</v>
      </c>
      <c r="E501" s="43" t="s">
        <v>594</v>
      </c>
      <c r="F501" s="39" t="s">
        <v>18</v>
      </c>
      <c r="G501" s="39" t="s">
        <v>19</v>
      </c>
      <c r="H501" s="40">
        <v>45782</v>
      </c>
      <c r="I501" s="41">
        <v>45803</v>
      </c>
      <c r="J501" s="41">
        <f t="shared" si="7"/>
        <v>45987</v>
      </c>
      <c r="K501" s="38" t="s">
        <v>43</v>
      </c>
      <c r="L501" s="38" t="s">
        <v>43</v>
      </c>
      <c r="M501" s="28" t="s">
        <v>1045</v>
      </c>
      <c r="N501" s="15" t="s">
        <v>73</v>
      </c>
    </row>
    <row r="502" spans="1:14" ht="14.4" hidden="1" x14ac:dyDescent="0.3">
      <c r="A502" s="42"/>
      <c r="B502" s="39"/>
      <c r="C502" s="39"/>
      <c r="D502" s="39"/>
      <c r="E502" s="43"/>
      <c r="F502" s="39"/>
      <c r="G502" s="39"/>
      <c r="H502" s="40"/>
      <c r="I502" s="41"/>
      <c r="J502" s="41">
        <f t="shared" si="7"/>
        <v>182</v>
      </c>
      <c r="K502" s="38" t="s">
        <v>43</v>
      </c>
      <c r="L502" s="38" t="s">
        <v>43</v>
      </c>
      <c r="M502" s="28" t="s">
        <v>1046</v>
      </c>
      <c r="N502" s="15" t="s">
        <v>73</v>
      </c>
    </row>
    <row r="503" spans="1:14" ht="14.4" hidden="1" x14ac:dyDescent="0.3">
      <c r="A503" s="42" t="s">
        <v>1047</v>
      </c>
      <c r="B503" s="39" t="s">
        <v>1048</v>
      </c>
      <c r="C503" s="39" t="s">
        <v>1049</v>
      </c>
      <c r="D503" s="39" t="s">
        <v>454</v>
      </c>
      <c r="E503" s="43">
        <v>6</v>
      </c>
      <c r="F503" s="39" t="s">
        <v>18</v>
      </c>
      <c r="G503" s="39" t="s">
        <v>19</v>
      </c>
      <c r="H503" s="40">
        <v>45784</v>
      </c>
      <c r="I503" s="41">
        <v>45805</v>
      </c>
      <c r="J503" s="41">
        <f t="shared" si="7"/>
        <v>45989</v>
      </c>
      <c r="K503" s="38" t="s">
        <v>34</v>
      </c>
      <c r="L503" s="38" t="s">
        <v>1251</v>
      </c>
      <c r="M503" s="14" t="s">
        <v>1050</v>
      </c>
      <c r="N503" s="15" t="s">
        <v>36</v>
      </c>
    </row>
    <row r="504" spans="1:14" ht="14.4" hidden="1" x14ac:dyDescent="0.3">
      <c r="A504" s="42"/>
      <c r="B504" s="39"/>
      <c r="C504" s="39"/>
      <c r="D504" s="39"/>
      <c r="E504" s="43"/>
      <c r="F504" s="39"/>
      <c r="G504" s="39"/>
      <c r="H504" s="40"/>
      <c r="I504" s="41"/>
      <c r="J504" s="41">
        <f t="shared" si="7"/>
        <v>182</v>
      </c>
      <c r="K504" s="38" t="s">
        <v>34</v>
      </c>
      <c r="L504" s="38" t="s">
        <v>1250</v>
      </c>
      <c r="M504" s="14" t="s">
        <v>1051</v>
      </c>
      <c r="N504" s="15" t="s">
        <v>36</v>
      </c>
    </row>
    <row r="505" spans="1:14" ht="14.4" hidden="1" x14ac:dyDescent="0.3">
      <c r="A505" s="42" t="s">
        <v>1052</v>
      </c>
      <c r="B505" s="39" t="s">
        <v>815</v>
      </c>
      <c r="C505" s="39" t="s">
        <v>816</v>
      </c>
      <c r="D505" s="39" t="s">
        <v>817</v>
      </c>
      <c r="E505" s="43">
        <v>7</v>
      </c>
      <c r="F505" s="39" t="s">
        <v>18</v>
      </c>
      <c r="G505" s="39" t="s">
        <v>19</v>
      </c>
      <c r="H505" s="40">
        <v>45785</v>
      </c>
      <c r="I505" s="41">
        <v>45806</v>
      </c>
      <c r="J505" s="41">
        <f t="shared" si="7"/>
        <v>45990</v>
      </c>
      <c r="K505" s="38" t="s">
        <v>43</v>
      </c>
      <c r="L505" s="38" t="s">
        <v>43</v>
      </c>
      <c r="M505" s="28" t="s">
        <v>1053</v>
      </c>
      <c r="N505" s="15" t="s">
        <v>73</v>
      </c>
    </row>
    <row r="506" spans="1:14" ht="14.4" hidden="1" x14ac:dyDescent="0.3">
      <c r="A506" s="42"/>
      <c r="B506" s="39"/>
      <c r="C506" s="39"/>
      <c r="D506" s="39"/>
      <c r="E506" s="43"/>
      <c r="F506" s="39"/>
      <c r="G506" s="39"/>
      <c r="H506" s="40"/>
      <c r="I506" s="41"/>
      <c r="J506" s="41">
        <f t="shared" si="7"/>
        <v>182</v>
      </c>
      <c r="K506" s="38" t="s">
        <v>43</v>
      </c>
      <c r="L506" s="38" t="s">
        <v>43</v>
      </c>
      <c r="M506" s="28" t="s">
        <v>1054</v>
      </c>
      <c r="N506" s="15" t="s">
        <v>73</v>
      </c>
    </row>
    <row r="507" spans="1:14" ht="14.4" hidden="1" x14ac:dyDescent="0.3">
      <c r="A507" s="17" t="s">
        <v>1055</v>
      </c>
      <c r="B507" s="18" t="s">
        <v>1056</v>
      </c>
      <c r="C507" s="19" t="s">
        <v>1057</v>
      </c>
      <c r="D507" s="20" t="s">
        <v>253</v>
      </c>
      <c r="E507" s="21">
        <v>1</v>
      </c>
      <c r="F507" s="12" t="s">
        <v>18</v>
      </c>
      <c r="G507" s="12" t="s">
        <v>19</v>
      </c>
      <c r="H507" s="13">
        <v>45785</v>
      </c>
      <c r="I507" s="22">
        <v>45806</v>
      </c>
      <c r="J507" s="22">
        <f t="shared" si="7"/>
        <v>45990</v>
      </c>
      <c r="K507" s="38" t="s">
        <v>34</v>
      </c>
      <c r="L507" s="38" t="s">
        <v>1258</v>
      </c>
      <c r="M507" s="14" t="s">
        <v>1058</v>
      </c>
      <c r="N507" s="15" t="s">
        <v>36</v>
      </c>
    </row>
    <row r="508" spans="1:14" ht="14.4" x14ac:dyDescent="0.3">
      <c r="A508" s="17" t="s">
        <v>1059</v>
      </c>
      <c r="B508" s="18" t="s">
        <v>477</v>
      </c>
      <c r="C508" s="19" t="s">
        <v>478</v>
      </c>
      <c r="D508" s="20" t="s">
        <v>91</v>
      </c>
      <c r="E508" s="21">
        <v>7</v>
      </c>
      <c r="F508" s="12" t="s">
        <v>18</v>
      </c>
      <c r="G508" s="12" t="s">
        <v>19</v>
      </c>
      <c r="H508" s="13">
        <v>45786</v>
      </c>
      <c r="I508" s="22">
        <v>45807</v>
      </c>
      <c r="J508" s="22">
        <f t="shared" si="7"/>
        <v>45991</v>
      </c>
      <c r="K508" s="37">
        <v>45820</v>
      </c>
      <c r="L508" s="38" t="s">
        <v>1282</v>
      </c>
      <c r="M508" s="14" t="s">
        <v>479</v>
      </c>
      <c r="N508" s="15" t="s">
        <v>21</v>
      </c>
    </row>
    <row r="509" spans="1:14" ht="14.4" hidden="1" x14ac:dyDescent="0.3">
      <c r="A509" s="42" t="s">
        <v>1060</v>
      </c>
      <c r="B509" s="39" t="s">
        <v>1061</v>
      </c>
      <c r="C509" s="39" t="s">
        <v>1062</v>
      </c>
      <c r="D509" s="39" t="s">
        <v>341</v>
      </c>
      <c r="E509" s="43">
        <v>1</v>
      </c>
      <c r="F509" s="39" t="s">
        <v>18</v>
      </c>
      <c r="G509" s="39" t="s">
        <v>19</v>
      </c>
      <c r="H509" s="40">
        <v>45789</v>
      </c>
      <c r="I509" s="41">
        <v>45811</v>
      </c>
      <c r="J509" s="41">
        <f t="shared" si="7"/>
        <v>45994</v>
      </c>
      <c r="K509" s="37">
        <v>45565</v>
      </c>
      <c r="L509" s="38" t="s">
        <v>1302</v>
      </c>
      <c r="M509" s="14" t="s">
        <v>1063</v>
      </c>
      <c r="N509" s="15" t="s">
        <v>140</v>
      </c>
    </row>
    <row r="510" spans="1:14" ht="14.4" hidden="1" x14ac:dyDescent="0.3">
      <c r="A510" s="42"/>
      <c r="B510" s="39"/>
      <c r="C510" s="39"/>
      <c r="D510" s="39"/>
      <c r="E510" s="43"/>
      <c r="F510" s="39"/>
      <c r="G510" s="39"/>
      <c r="H510" s="40"/>
      <c r="I510" s="41"/>
      <c r="J510" s="41">
        <f t="shared" si="7"/>
        <v>182</v>
      </c>
      <c r="K510" s="38" t="s">
        <v>43</v>
      </c>
      <c r="L510" s="38" t="s">
        <v>1263</v>
      </c>
      <c r="M510" s="14" t="s">
        <v>1064</v>
      </c>
      <c r="N510" s="15" t="s">
        <v>43</v>
      </c>
    </row>
    <row r="511" spans="1:14" ht="14.4" hidden="1" x14ac:dyDescent="0.3">
      <c r="A511" s="42" t="s">
        <v>1065</v>
      </c>
      <c r="B511" s="39" t="s">
        <v>592</v>
      </c>
      <c r="C511" s="39" t="s">
        <v>1066</v>
      </c>
      <c r="D511" s="39" t="s">
        <v>1067</v>
      </c>
      <c r="E511" s="43" t="s">
        <v>594</v>
      </c>
      <c r="F511" s="39" t="s">
        <v>18</v>
      </c>
      <c r="G511" s="39" t="s">
        <v>19</v>
      </c>
      <c r="H511" s="40">
        <v>45790</v>
      </c>
      <c r="I511" s="41">
        <v>45812</v>
      </c>
      <c r="J511" s="41">
        <f t="shared" si="7"/>
        <v>45995</v>
      </c>
      <c r="K511" s="38" t="s">
        <v>34</v>
      </c>
      <c r="L511" s="38" t="s">
        <v>1255</v>
      </c>
      <c r="M511" s="14" t="s">
        <v>1068</v>
      </c>
      <c r="N511" s="15" t="s">
        <v>36</v>
      </c>
    </row>
    <row r="512" spans="1:14" ht="14.4" hidden="1" x14ac:dyDescent="0.3">
      <c r="A512" s="42"/>
      <c r="B512" s="39"/>
      <c r="C512" s="39"/>
      <c r="D512" s="39"/>
      <c r="E512" s="43"/>
      <c r="F512" s="39"/>
      <c r="G512" s="39"/>
      <c r="H512" s="40"/>
      <c r="I512" s="41"/>
      <c r="J512" s="41">
        <f t="shared" si="7"/>
        <v>182</v>
      </c>
      <c r="K512" s="38" t="s">
        <v>34</v>
      </c>
      <c r="L512" s="38" t="s">
        <v>1255</v>
      </c>
      <c r="M512" s="14" t="s">
        <v>1069</v>
      </c>
      <c r="N512" s="15" t="s">
        <v>36</v>
      </c>
    </row>
    <row r="513" spans="1:14" ht="14.4" x14ac:dyDescent="0.3">
      <c r="A513" s="42" t="s">
        <v>1070</v>
      </c>
      <c r="B513" s="39" t="s">
        <v>1071</v>
      </c>
      <c r="C513" s="39" t="s">
        <v>1072</v>
      </c>
      <c r="D513" s="39" t="s">
        <v>757</v>
      </c>
      <c r="E513" s="43">
        <v>2</v>
      </c>
      <c r="F513" s="39" t="s">
        <v>18</v>
      </c>
      <c r="G513" s="39" t="s">
        <v>19</v>
      </c>
      <c r="H513" s="40">
        <v>45791</v>
      </c>
      <c r="I513" s="41">
        <v>45813</v>
      </c>
      <c r="J513" s="41">
        <f t="shared" si="7"/>
        <v>45996</v>
      </c>
      <c r="K513" s="37">
        <v>45840</v>
      </c>
      <c r="L513" s="38" t="s">
        <v>1294</v>
      </c>
      <c r="M513" s="14" t="s">
        <v>758</v>
      </c>
      <c r="N513" s="15" t="s">
        <v>21</v>
      </c>
    </row>
    <row r="514" spans="1:14" ht="14.4" x14ac:dyDescent="0.3">
      <c r="A514" s="42"/>
      <c r="B514" s="39"/>
      <c r="C514" s="39"/>
      <c r="D514" s="39"/>
      <c r="E514" s="43"/>
      <c r="F514" s="39"/>
      <c r="G514" s="39"/>
      <c r="H514" s="40"/>
      <c r="I514" s="41"/>
      <c r="J514" s="41">
        <f t="shared" si="7"/>
        <v>182</v>
      </c>
      <c r="K514" s="37">
        <v>45840</v>
      </c>
      <c r="L514" s="38" t="s">
        <v>1294</v>
      </c>
      <c r="M514" s="14" t="s">
        <v>759</v>
      </c>
      <c r="N514" s="15" t="s">
        <v>21</v>
      </c>
    </row>
    <row r="515" spans="1:14" ht="14.4" hidden="1" x14ac:dyDescent="0.3">
      <c r="A515" s="17" t="s">
        <v>1073</v>
      </c>
      <c r="B515" s="18" t="s">
        <v>1074</v>
      </c>
      <c r="C515" s="19" t="s">
        <v>1075</v>
      </c>
      <c r="D515" s="20" t="s">
        <v>1076</v>
      </c>
      <c r="E515" s="21">
        <v>2</v>
      </c>
      <c r="F515" s="12" t="s">
        <v>18</v>
      </c>
      <c r="G515" s="12" t="s">
        <v>19</v>
      </c>
      <c r="H515" s="13">
        <v>45791</v>
      </c>
      <c r="I515" s="22">
        <v>45813</v>
      </c>
      <c r="J515" s="22">
        <f t="shared" si="7"/>
        <v>45996</v>
      </c>
      <c r="K515" s="38" t="s">
        <v>34</v>
      </c>
      <c r="L515" s="38" t="s">
        <v>1258</v>
      </c>
      <c r="M515" s="14" t="s">
        <v>1077</v>
      </c>
      <c r="N515" s="15" t="s">
        <v>36</v>
      </c>
    </row>
    <row r="516" spans="1:14" ht="14.4" hidden="1" x14ac:dyDescent="0.3">
      <c r="A516" s="42" t="s">
        <v>1078</v>
      </c>
      <c r="B516" s="39" t="s">
        <v>1079</v>
      </c>
      <c r="C516" s="39" t="s">
        <v>1080</v>
      </c>
      <c r="D516" s="39" t="s">
        <v>138</v>
      </c>
      <c r="E516" s="43">
        <v>5</v>
      </c>
      <c r="F516" s="39" t="s">
        <v>18</v>
      </c>
      <c r="G516" s="39" t="s">
        <v>19</v>
      </c>
      <c r="H516" s="40">
        <v>45791</v>
      </c>
      <c r="I516" s="41">
        <v>45813</v>
      </c>
      <c r="J516" s="41">
        <f t="shared" si="7"/>
        <v>45996</v>
      </c>
      <c r="K516" s="38" t="s">
        <v>34</v>
      </c>
      <c r="L516" s="38" t="s">
        <v>1251</v>
      </c>
      <c r="M516" s="14" t="s">
        <v>1081</v>
      </c>
      <c r="N516" s="15" t="s">
        <v>36</v>
      </c>
    </row>
    <row r="517" spans="1:14" ht="14.4" hidden="1" x14ac:dyDescent="0.3">
      <c r="A517" s="42"/>
      <c r="B517" s="39"/>
      <c r="C517" s="39"/>
      <c r="D517" s="39"/>
      <c r="E517" s="43"/>
      <c r="F517" s="39"/>
      <c r="G517" s="39"/>
      <c r="H517" s="40"/>
      <c r="I517" s="41"/>
      <c r="J517" s="41">
        <f t="shared" si="7"/>
        <v>182</v>
      </c>
      <c r="K517" s="38" t="s">
        <v>34</v>
      </c>
      <c r="L517" s="38" t="s">
        <v>1251</v>
      </c>
      <c r="M517" s="14" t="s">
        <v>1082</v>
      </c>
      <c r="N517" s="15" t="s">
        <v>36</v>
      </c>
    </row>
    <row r="518" spans="1:14" ht="14.4" hidden="1" x14ac:dyDescent="0.3">
      <c r="A518" s="17" t="s">
        <v>1083</v>
      </c>
      <c r="B518" s="18" t="s">
        <v>1084</v>
      </c>
      <c r="C518" s="19" t="s">
        <v>1085</v>
      </c>
      <c r="D518" s="20" t="s">
        <v>449</v>
      </c>
      <c r="E518" s="21">
        <v>5</v>
      </c>
      <c r="F518" s="12" t="s">
        <v>18</v>
      </c>
      <c r="G518" s="12" t="s">
        <v>19</v>
      </c>
      <c r="H518" s="13">
        <v>45792</v>
      </c>
      <c r="I518" s="22">
        <v>45814</v>
      </c>
      <c r="J518" s="22">
        <f t="shared" si="7"/>
        <v>45997</v>
      </c>
      <c r="K518" s="38" t="s">
        <v>34</v>
      </c>
      <c r="L518" s="38" t="s">
        <v>1251</v>
      </c>
      <c r="M518" s="14" t="s">
        <v>1086</v>
      </c>
      <c r="N518" s="15" t="s">
        <v>36</v>
      </c>
    </row>
    <row r="519" spans="1:14" ht="14.4" x14ac:dyDescent="0.3">
      <c r="A519" s="42" t="s">
        <v>1087</v>
      </c>
      <c r="B519" s="39" t="s">
        <v>1088</v>
      </c>
      <c r="C519" s="39" t="s">
        <v>1089</v>
      </c>
      <c r="D519" s="39" t="s">
        <v>757</v>
      </c>
      <c r="E519" s="43">
        <v>2</v>
      </c>
      <c r="F519" s="39" t="s">
        <v>18</v>
      </c>
      <c r="G519" s="39" t="s">
        <v>19</v>
      </c>
      <c r="H519" s="40">
        <v>45792</v>
      </c>
      <c r="I519" s="41">
        <v>45814</v>
      </c>
      <c r="J519" s="41">
        <f t="shared" si="7"/>
        <v>45997</v>
      </c>
      <c r="K519" s="37">
        <v>45841</v>
      </c>
      <c r="L519" s="38" t="s">
        <v>1307</v>
      </c>
      <c r="M519" s="14" t="s">
        <v>1090</v>
      </c>
      <c r="N519" s="15" t="s">
        <v>21</v>
      </c>
    </row>
    <row r="520" spans="1:14" ht="14.4" x14ac:dyDescent="0.3">
      <c r="A520" s="42"/>
      <c r="B520" s="39"/>
      <c r="C520" s="39"/>
      <c r="D520" s="39"/>
      <c r="E520" s="43"/>
      <c r="F520" s="39"/>
      <c r="G520" s="39"/>
      <c r="H520" s="40"/>
      <c r="I520" s="41"/>
      <c r="J520" s="41">
        <f t="shared" ref="J520:J583" si="8">EDATE(I520,6)</f>
        <v>182</v>
      </c>
      <c r="K520" s="37">
        <v>45841</v>
      </c>
      <c r="L520" s="38" t="s">
        <v>1307</v>
      </c>
      <c r="M520" s="14" t="s">
        <v>1091</v>
      </c>
      <c r="N520" s="15" t="s">
        <v>21</v>
      </c>
    </row>
    <row r="521" spans="1:14" ht="14.4" x14ac:dyDescent="0.3">
      <c r="A521" s="42" t="s">
        <v>1092</v>
      </c>
      <c r="B521" s="39" t="s">
        <v>1093</v>
      </c>
      <c r="C521" s="39" t="s">
        <v>1094</v>
      </c>
      <c r="D521" s="39" t="s">
        <v>692</v>
      </c>
      <c r="E521" s="43">
        <v>9</v>
      </c>
      <c r="F521" s="39" t="s">
        <v>18</v>
      </c>
      <c r="G521" s="39" t="s">
        <v>19</v>
      </c>
      <c r="H521" s="40">
        <v>45793</v>
      </c>
      <c r="I521" s="41">
        <v>45817</v>
      </c>
      <c r="J521" s="41">
        <f t="shared" si="8"/>
        <v>46000</v>
      </c>
      <c r="K521" s="37">
        <v>45848</v>
      </c>
      <c r="L521" s="38" t="s">
        <v>1308</v>
      </c>
      <c r="M521" s="14" t="s">
        <v>1095</v>
      </c>
      <c r="N521" s="15" t="s">
        <v>21</v>
      </c>
    </row>
    <row r="522" spans="1:14" ht="14.4" x14ac:dyDescent="0.3">
      <c r="A522" s="42"/>
      <c r="B522" s="39"/>
      <c r="C522" s="39"/>
      <c r="D522" s="39"/>
      <c r="E522" s="43"/>
      <c r="F522" s="39"/>
      <c r="G522" s="39"/>
      <c r="H522" s="40"/>
      <c r="I522" s="41"/>
      <c r="J522" s="41">
        <f t="shared" si="8"/>
        <v>182</v>
      </c>
      <c r="K522" s="37">
        <v>45845</v>
      </c>
      <c r="L522" s="38" t="s">
        <v>1297</v>
      </c>
      <c r="M522" s="14" t="s">
        <v>1096</v>
      </c>
      <c r="N522" s="15" t="s">
        <v>21</v>
      </c>
    </row>
    <row r="523" spans="1:14" ht="14.4" x14ac:dyDescent="0.3">
      <c r="A523" s="42"/>
      <c r="B523" s="39"/>
      <c r="C523" s="39"/>
      <c r="D523" s="39"/>
      <c r="E523" s="43"/>
      <c r="F523" s="39"/>
      <c r="G523" s="39"/>
      <c r="H523" s="40"/>
      <c r="I523" s="41"/>
      <c r="J523" s="41">
        <f t="shared" si="8"/>
        <v>182</v>
      </c>
      <c r="K523" s="37">
        <v>45845</v>
      </c>
      <c r="L523" s="38" t="s">
        <v>1297</v>
      </c>
      <c r="M523" s="14" t="s">
        <v>1097</v>
      </c>
      <c r="N523" s="15" t="s">
        <v>21</v>
      </c>
    </row>
    <row r="524" spans="1:14" ht="14.4" x14ac:dyDescent="0.3">
      <c r="A524" s="42"/>
      <c r="B524" s="39"/>
      <c r="C524" s="39"/>
      <c r="D524" s="39"/>
      <c r="E524" s="43"/>
      <c r="F524" s="39"/>
      <c r="G524" s="39"/>
      <c r="H524" s="40"/>
      <c r="I524" s="41"/>
      <c r="J524" s="41">
        <f t="shared" si="8"/>
        <v>182</v>
      </c>
      <c r="K524" s="37">
        <v>45847</v>
      </c>
      <c r="L524" s="38" t="s">
        <v>1309</v>
      </c>
      <c r="M524" s="14" t="s">
        <v>1098</v>
      </c>
      <c r="N524" s="15" t="s">
        <v>21</v>
      </c>
    </row>
    <row r="525" spans="1:14" ht="14.4" x14ac:dyDescent="0.3">
      <c r="A525" s="44" t="s">
        <v>1099</v>
      </c>
      <c r="B525" s="46" t="s">
        <v>1100</v>
      </c>
      <c r="C525" s="46" t="s">
        <v>1101</v>
      </c>
      <c r="D525" s="46" t="s">
        <v>1102</v>
      </c>
      <c r="E525" s="48">
        <v>2</v>
      </c>
      <c r="F525" s="39" t="s">
        <v>18</v>
      </c>
      <c r="G525" s="39" t="s">
        <v>19</v>
      </c>
      <c r="H525" s="40">
        <v>45793</v>
      </c>
      <c r="I525" s="41">
        <v>45817</v>
      </c>
      <c r="J525" s="41">
        <f t="shared" si="8"/>
        <v>46000</v>
      </c>
      <c r="K525" s="38" t="s">
        <v>43</v>
      </c>
      <c r="L525" s="38" t="s">
        <v>1310</v>
      </c>
      <c r="M525" s="14" t="s">
        <v>1103</v>
      </c>
      <c r="N525" s="15" t="s">
        <v>21</v>
      </c>
    </row>
    <row r="526" spans="1:14" ht="14.4" x14ac:dyDescent="0.3">
      <c r="A526" s="45"/>
      <c r="B526" s="47"/>
      <c r="C526" s="47"/>
      <c r="D526" s="47"/>
      <c r="E526" s="49"/>
      <c r="F526" s="39"/>
      <c r="G526" s="39"/>
      <c r="H526" s="40"/>
      <c r="I526" s="41"/>
      <c r="J526" s="41">
        <f t="shared" si="8"/>
        <v>182</v>
      </c>
      <c r="K526" s="38" t="s">
        <v>43</v>
      </c>
      <c r="L526" s="38" t="s">
        <v>1311</v>
      </c>
      <c r="M526" s="14" t="s">
        <v>1104</v>
      </c>
      <c r="N526" s="15" t="s">
        <v>21</v>
      </c>
    </row>
    <row r="527" spans="1:14" ht="14.4" hidden="1" x14ac:dyDescent="0.3">
      <c r="A527" s="45"/>
      <c r="B527" s="47"/>
      <c r="C527" s="47"/>
      <c r="D527" s="47"/>
      <c r="E527" s="49"/>
      <c r="F527" s="39"/>
      <c r="G527" s="39"/>
      <c r="H527" s="40"/>
      <c r="I527" s="41"/>
      <c r="J527" s="41">
        <f t="shared" si="8"/>
        <v>182</v>
      </c>
      <c r="K527" s="38" t="s">
        <v>43</v>
      </c>
      <c r="L527" s="38" t="s">
        <v>1312</v>
      </c>
      <c r="M527" s="14" t="s">
        <v>1105</v>
      </c>
      <c r="N527" s="15" t="s">
        <v>43</v>
      </c>
    </row>
    <row r="528" spans="1:14" ht="14.4" hidden="1" x14ac:dyDescent="0.3">
      <c r="A528" s="50"/>
      <c r="B528" s="51"/>
      <c r="C528" s="51"/>
      <c r="D528" s="51"/>
      <c r="E528" s="52"/>
      <c r="F528" s="39"/>
      <c r="G528" s="39"/>
      <c r="H528" s="40"/>
      <c r="I528" s="41"/>
      <c r="J528" s="41">
        <f t="shared" si="8"/>
        <v>182</v>
      </c>
      <c r="K528" s="38" t="s">
        <v>43</v>
      </c>
      <c r="L528" s="38" t="s">
        <v>1312</v>
      </c>
      <c r="M528" s="14" t="s">
        <v>1106</v>
      </c>
      <c r="N528" s="15" t="s">
        <v>43</v>
      </c>
    </row>
    <row r="529" spans="1:14" ht="14.4" hidden="1" x14ac:dyDescent="0.3">
      <c r="A529" s="42" t="s">
        <v>1107</v>
      </c>
      <c r="B529" s="39" t="s">
        <v>1108</v>
      </c>
      <c r="C529" s="39" t="s">
        <v>1109</v>
      </c>
      <c r="D529" s="39" t="s">
        <v>856</v>
      </c>
      <c r="E529" s="43">
        <v>9</v>
      </c>
      <c r="F529" s="39" t="s">
        <v>18</v>
      </c>
      <c r="G529" s="39" t="s">
        <v>19</v>
      </c>
      <c r="H529" s="40">
        <v>45797</v>
      </c>
      <c r="I529" s="41">
        <v>45842</v>
      </c>
      <c r="J529" s="41">
        <f t="shared" si="8"/>
        <v>46026</v>
      </c>
      <c r="K529" s="38" t="s">
        <v>34</v>
      </c>
      <c r="L529" s="38" t="s">
        <v>1258</v>
      </c>
      <c r="M529" s="14" t="s">
        <v>857</v>
      </c>
      <c r="N529" s="15" t="s">
        <v>36</v>
      </c>
    </row>
    <row r="530" spans="1:14" ht="14.4" x14ac:dyDescent="0.3">
      <c r="A530" s="42"/>
      <c r="B530" s="39"/>
      <c r="C530" s="39"/>
      <c r="D530" s="39"/>
      <c r="E530" s="43"/>
      <c r="F530" s="39"/>
      <c r="G530" s="39"/>
      <c r="H530" s="40"/>
      <c r="I530" s="41"/>
      <c r="J530" s="41">
        <f t="shared" si="8"/>
        <v>182</v>
      </c>
      <c r="K530" s="37">
        <v>45845</v>
      </c>
      <c r="L530" s="38" t="s">
        <v>1297</v>
      </c>
      <c r="M530" s="14" t="s">
        <v>858</v>
      </c>
      <c r="N530" s="15" t="s">
        <v>21</v>
      </c>
    </row>
    <row r="531" spans="1:14" ht="14.4" hidden="1" x14ac:dyDescent="0.3">
      <c r="A531" s="42" t="s">
        <v>1110</v>
      </c>
      <c r="B531" s="39" t="s">
        <v>1111</v>
      </c>
      <c r="C531" s="39" t="s">
        <v>1112</v>
      </c>
      <c r="D531" s="39" t="s">
        <v>233</v>
      </c>
      <c r="E531" s="43">
        <v>7</v>
      </c>
      <c r="F531" s="39" t="s">
        <v>18</v>
      </c>
      <c r="G531" s="39" t="s">
        <v>19</v>
      </c>
      <c r="H531" s="40">
        <v>45798</v>
      </c>
      <c r="I531" s="41">
        <v>45820</v>
      </c>
      <c r="J531" s="41">
        <f t="shared" si="8"/>
        <v>46003</v>
      </c>
      <c r="K531" s="38" t="s">
        <v>43</v>
      </c>
      <c r="L531" s="38" t="s">
        <v>43</v>
      </c>
      <c r="M531" s="28" t="s">
        <v>1113</v>
      </c>
      <c r="N531" s="15" t="s">
        <v>73</v>
      </c>
    </row>
    <row r="532" spans="1:14" ht="14.4" hidden="1" x14ac:dyDescent="0.3">
      <c r="A532" s="42"/>
      <c r="B532" s="39"/>
      <c r="C532" s="39"/>
      <c r="D532" s="39"/>
      <c r="E532" s="43"/>
      <c r="F532" s="39"/>
      <c r="G532" s="39"/>
      <c r="H532" s="40"/>
      <c r="I532" s="41"/>
      <c r="J532" s="41">
        <f t="shared" si="8"/>
        <v>182</v>
      </c>
      <c r="K532" s="38" t="s">
        <v>34</v>
      </c>
      <c r="L532" s="38" t="s">
        <v>1245</v>
      </c>
      <c r="M532" s="14" t="s">
        <v>1114</v>
      </c>
      <c r="N532" s="15" t="s">
        <v>36</v>
      </c>
    </row>
    <row r="533" spans="1:14" ht="14.4" hidden="1" x14ac:dyDescent="0.3">
      <c r="A533" s="17" t="s">
        <v>1115</v>
      </c>
      <c r="B533" s="18" t="s">
        <v>1116</v>
      </c>
      <c r="C533" s="19" t="s">
        <v>1117</v>
      </c>
      <c r="D533" s="20" t="s">
        <v>1118</v>
      </c>
      <c r="E533" s="21">
        <v>6</v>
      </c>
      <c r="F533" s="12" t="s">
        <v>18</v>
      </c>
      <c r="G533" s="12" t="s">
        <v>19</v>
      </c>
      <c r="H533" s="13">
        <v>45798</v>
      </c>
      <c r="I533" s="22">
        <v>45820</v>
      </c>
      <c r="J533" s="22">
        <f t="shared" si="8"/>
        <v>46003</v>
      </c>
      <c r="K533" s="38" t="s">
        <v>34</v>
      </c>
      <c r="L533" s="38" t="s">
        <v>1250</v>
      </c>
      <c r="M533" s="14" t="s">
        <v>1119</v>
      </c>
      <c r="N533" s="15" t="s">
        <v>36</v>
      </c>
    </row>
    <row r="534" spans="1:14" ht="14.4" hidden="1" x14ac:dyDescent="0.3">
      <c r="A534" s="42" t="s">
        <v>1120</v>
      </c>
      <c r="B534" s="39" t="s">
        <v>592</v>
      </c>
      <c r="C534" s="39" t="s">
        <v>1066</v>
      </c>
      <c r="D534" s="39" t="s">
        <v>1067</v>
      </c>
      <c r="E534" s="43" t="s">
        <v>594</v>
      </c>
      <c r="F534" s="39" t="s">
        <v>18</v>
      </c>
      <c r="G534" s="39" t="s">
        <v>19</v>
      </c>
      <c r="H534" s="40">
        <v>45798</v>
      </c>
      <c r="I534" s="41">
        <v>45820</v>
      </c>
      <c r="J534" s="41">
        <f t="shared" si="8"/>
        <v>46003</v>
      </c>
      <c r="K534" s="38" t="s">
        <v>34</v>
      </c>
      <c r="L534" s="38" t="s">
        <v>1255</v>
      </c>
      <c r="M534" s="14" t="s">
        <v>1068</v>
      </c>
      <c r="N534" s="15" t="s">
        <v>36</v>
      </c>
    </row>
    <row r="535" spans="1:14" ht="14.4" hidden="1" x14ac:dyDescent="0.3">
      <c r="A535" s="42"/>
      <c r="B535" s="39"/>
      <c r="C535" s="39"/>
      <c r="D535" s="39"/>
      <c r="E535" s="43"/>
      <c r="F535" s="39"/>
      <c r="G535" s="39"/>
      <c r="H535" s="40"/>
      <c r="I535" s="41"/>
      <c r="J535" s="41">
        <f t="shared" si="8"/>
        <v>182</v>
      </c>
      <c r="K535" s="38" t="s">
        <v>34</v>
      </c>
      <c r="L535" s="38" t="s">
        <v>1255</v>
      </c>
      <c r="M535" s="14" t="s">
        <v>1069</v>
      </c>
      <c r="N535" s="15" t="s">
        <v>36</v>
      </c>
    </row>
    <row r="536" spans="1:14" ht="14.4" x14ac:dyDescent="0.3">
      <c r="A536" s="44" t="s">
        <v>1121</v>
      </c>
      <c r="B536" s="46" t="s">
        <v>1122</v>
      </c>
      <c r="C536" s="46" t="s">
        <v>1123</v>
      </c>
      <c r="D536" s="46" t="s">
        <v>197</v>
      </c>
      <c r="E536" s="48">
        <v>7</v>
      </c>
      <c r="F536" s="39" t="s">
        <v>18</v>
      </c>
      <c r="G536" s="39" t="s">
        <v>19</v>
      </c>
      <c r="H536" s="40">
        <v>45798</v>
      </c>
      <c r="I536" s="41">
        <v>45820</v>
      </c>
      <c r="J536" s="41">
        <f t="shared" si="8"/>
        <v>46003</v>
      </c>
      <c r="K536" s="37">
        <v>45811</v>
      </c>
      <c r="L536" s="38" t="s">
        <v>1299</v>
      </c>
      <c r="M536" s="14" t="s">
        <v>1124</v>
      </c>
      <c r="N536" s="15" t="s">
        <v>21</v>
      </c>
    </row>
    <row r="537" spans="1:14" ht="14.4" x14ac:dyDescent="0.3">
      <c r="A537" s="45"/>
      <c r="B537" s="47"/>
      <c r="C537" s="47"/>
      <c r="D537" s="47"/>
      <c r="E537" s="49"/>
      <c r="F537" s="39"/>
      <c r="G537" s="39"/>
      <c r="H537" s="40"/>
      <c r="I537" s="41"/>
      <c r="J537" s="41">
        <f t="shared" si="8"/>
        <v>182</v>
      </c>
      <c r="K537" s="37">
        <v>45811</v>
      </c>
      <c r="L537" s="38" t="s">
        <v>1299</v>
      </c>
      <c r="M537" s="14" t="s">
        <v>1125</v>
      </c>
      <c r="N537" s="15" t="s">
        <v>21</v>
      </c>
    </row>
    <row r="538" spans="1:14" ht="14.4" hidden="1" x14ac:dyDescent="0.3">
      <c r="A538" s="45"/>
      <c r="B538" s="47"/>
      <c r="C538" s="47"/>
      <c r="D538" s="47"/>
      <c r="E538" s="49"/>
      <c r="F538" s="39"/>
      <c r="G538" s="39"/>
      <c r="H538" s="40"/>
      <c r="I538" s="41"/>
      <c r="J538" s="41">
        <f t="shared" si="8"/>
        <v>182</v>
      </c>
      <c r="K538" s="38" t="s">
        <v>43</v>
      </c>
      <c r="L538" s="38" t="s">
        <v>1251</v>
      </c>
      <c r="M538" s="28" t="s">
        <v>1126</v>
      </c>
      <c r="N538" s="15" t="s">
        <v>36</v>
      </c>
    </row>
    <row r="539" spans="1:14" ht="14.4" hidden="1" x14ac:dyDescent="0.3">
      <c r="A539" s="42" t="s">
        <v>1127</v>
      </c>
      <c r="B539" s="39" t="s">
        <v>805</v>
      </c>
      <c r="C539" s="39" t="s">
        <v>1128</v>
      </c>
      <c r="D539" s="39" t="s">
        <v>807</v>
      </c>
      <c r="E539" s="43">
        <v>10</v>
      </c>
      <c r="F539" s="39" t="s">
        <v>18</v>
      </c>
      <c r="G539" s="39" t="s">
        <v>19</v>
      </c>
      <c r="H539" s="40">
        <v>45800</v>
      </c>
      <c r="I539" s="41">
        <v>45824</v>
      </c>
      <c r="J539" s="41">
        <f t="shared" si="8"/>
        <v>46007</v>
      </c>
      <c r="K539" s="38" t="s">
        <v>34</v>
      </c>
      <c r="L539" s="38" t="s">
        <v>1255</v>
      </c>
      <c r="M539" s="14" t="s">
        <v>808</v>
      </c>
      <c r="N539" s="15" t="s">
        <v>36</v>
      </c>
    </row>
    <row r="540" spans="1:14" ht="14.4" hidden="1" x14ac:dyDescent="0.3">
      <c r="A540" s="42"/>
      <c r="B540" s="39"/>
      <c r="C540" s="39"/>
      <c r="D540" s="39"/>
      <c r="E540" s="43"/>
      <c r="F540" s="39"/>
      <c r="G540" s="39"/>
      <c r="H540" s="40"/>
      <c r="I540" s="41"/>
      <c r="J540" s="41">
        <f t="shared" si="8"/>
        <v>182</v>
      </c>
      <c r="K540" s="38" t="s">
        <v>34</v>
      </c>
      <c r="L540" s="38" t="s">
        <v>1255</v>
      </c>
      <c r="M540" s="14" t="s">
        <v>809</v>
      </c>
      <c r="N540" s="15" t="s">
        <v>36</v>
      </c>
    </row>
    <row r="541" spans="1:14" ht="14.4" hidden="1" x14ac:dyDescent="0.3">
      <c r="A541" s="44" t="s">
        <v>1129</v>
      </c>
      <c r="B541" s="46" t="s">
        <v>1130</v>
      </c>
      <c r="C541" s="46" t="s">
        <v>1131</v>
      </c>
      <c r="D541" s="46" t="s">
        <v>1132</v>
      </c>
      <c r="E541" s="48">
        <v>10</v>
      </c>
      <c r="F541" s="39" t="s">
        <v>18</v>
      </c>
      <c r="G541" s="39" t="s">
        <v>19</v>
      </c>
      <c r="H541" s="40">
        <v>45800</v>
      </c>
      <c r="I541" s="41">
        <v>45824</v>
      </c>
      <c r="J541" s="41">
        <f t="shared" si="8"/>
        <v>46007</v>
      </c>
      <c r="K541" s="38" t="s">
        <v>34</v>
      </c>
      <c r="L541" s="38" t="s">
        <v>1255</v>
      </c>
      <c r="M541" s="14" t="s">
        <v>1133</v>
      </c>
      <c r="N541" s="15" t="s">
        <v>36</v>
      </c>
    </row>
    <row r="542" spans="1:14" ht="14.4" hidden="1" x14ac:dyDescent="0.3">
      <c r="A542" s="45"/>
      <c r="B542" s="47"/>
      <c r="C542" s="47"/>
      <c r="D542" s="47"/>
      <c r="E542" s="49"/>
      <c r="F542" s="39"/>
      <c r="G542" s="39"/>
      <c r="H542" s="40"/>
      <c r="I542" s="41"/>
      <c r="J542" s="41">
        <f t="shared" si="8"/>
        <v>182</v>
      </c>
      <c r="K542" s="38" t="s">
        <v>34</v>
      </c>
      <c r="L542" s="38" t="s">
        <v>1255</v>
      </c>
      <c r="M542" s="14" t="s">
        <v>1134</v>
      </c>
      <c r="N542" s="15" t="s">
        <v>36</v>
      </c>
    </row>
    <row r="543" spans="1:14" ht="14.4" hidden="1" x14ac:dyDescent="0.3">
      <c r="A543" s="45"/>
      <c r="B543" s="47"/>
      <c r="C543" s="47"/>
      <c r="D543" s="47"/>
      <c r="E543" s="49"/>
      <c r="F543" s="39"/>
      <c r="G543" s="39"/>
      <c r="H543" s="40"/>
      <c r="I543" s="41"/>
      <c r="J543" s="41">
        <f t="shared" si="8"/>
        <v>182</v>
      </c>
      <c r="K543" s="38" t="s">
        <v>34</v>
      </c>
      <c r="L543" s="38" t="s">
        <v>1255</v>
      </c>
      <c r="M543" s="14" t="s">
        <v>1135</v>
      </c>
      <c r="N543" s="15" t="s">
        <v>36</v>
      </c>
    </row>
    <row r="544" spans="1:14" ht="14.4" hidden="1" x14ac:dyDescent="0.3">
      <c r="A544" s="42" t="s">
        <v>1136</v>
      </c>
      <c r="B544" s="39" t="s">
        <v>1137</v>
      </c>
      <c r="C544" s="39" t="s">
        <v>1138</v>
      </c>
      <c r="D544" s="39" t="s">
        <v>1139</v>
      </c>
      <c r="E544" s="43">
        <v>4</v>
      </c>
      <c r="F544" s="39" t="s">
        <v>18</v>
      </c>
      <c r="G544" s="39" t="s">
        <v>19</v>
      </c>
      <c r="H544" s="40">
        <v>45800</v>
      </c>
      <c r="I544" s="41">
        <v>45824</v>
      </c>
      <c r="J544" s="41">
        <f t="shared" si="8"/>
        <v>46007</v>
      </c>
      <c r="K544" s="38" t="s">
        <v>34</v>
      </c>
      <c r="L544" s="38" t="s">
        <v>1245</v>
      </c>
      <c r="M544" s="14" t="s">
        <v>1140</v>
      </c>
      <c r="N544" s="15" t="s">
        <v>36</v>
      </c>
    </row>
    <row r="545" spans="1:14" ht="14.4" hidden="1" x14ac:dyDescent="0.3">
      <c r="A545" s="42"/>
      <c r="B545" s="39"/>
      <c r="C545" s="39"/>
      <c r="D545" s="39"/>
      <c r="E545" s="43"/>
      <c r="F545" s="39"/>
      <c r="G545" s="39"/>
      <c r="H545" s="40"/>
      <c r="I545" s="41"/>
      <c r="J545" s="41">
        <f t="shared" si="8"/>
        <v>182</v>
      </c>
      <c r="K545" s="38" t="s">
        <v>34</v>
      </c>
      <c r="L545" s="38" t="s">
        <v>1245</v>
      </c>
      <c r="M545" s="14" t="s">
        <v>1141</v>
      </c>
      <c r="N545" s="15" t="s">
        <v>36</v>
      </c>
    </row>
    <row r="546" spans="1:14" ht="14.4" x14ac:dyDescent="0.3">
      <c r="A546" s="42" t="s">
        <v>1142</v>
      </c>
      <c r="B546" s="39" t="s">
        <v>464</v>
      </c>
      <c r="C546" s="39" t="s">
        <v>1143</v>
      </c>
      <c r="D546" s="39" t="s">
        <v>466</v>
      </c>
      <c r="E546" s="43">
        <v>10</v>
      </c>
      <c r="F546" s="39" t="s">
        <v>18</v>
      </c>
      <c r="G546" s="39" t="s">
        <v>19</v>
      </c>
      <c r="H546" s="40">
        <v>45804</v>
      </c>
      <c r="I546" s="41">
        <v>45826</v>
      </c>
      <c r="J546" s="41">
        <f t="shared" si="8"/>
        <v>46009</v>
      </c>
      <c r="K546" s="37">
        <v>45796</v>
      </c>
      <c r="L546" s="38" t="s">
        <v>1280</v>
      </c>
      <c r="M546" s="14" t="s">
        <v>467</v>
      </c>
      <c r="N546" s="15" t="s">
        <v>21</v>
      </c>
    </row>
    <row r="547" spans="1:14" ht="14.4" x14ac:dyDescent="0.3">
      <c r="A547" s="42"/>
      <c r="B547" s="39"/>
      <c r="C547" s="39"/>
      <c r="D547" s="39"/>
      <c r="E547" s="43"/>
      <c r="F547" s="39"/>
      <c r="G547" s="39"/>
      <c r="H547" s="40"/>
      <c r="I547" s="41"/>
      <c r="J547" s="41">
        <f t="shared" si="8"/>
        <v>182</v>
      </c>
      <c r="K547" s="37">
        <v>45796</v>
      </c>
      <c r="L547" s="38" t="s">
        <v>1280</v>
      </c>
      <c r="M547" s="14" t="s">
        <v>468</v>
      </c>
      <c r="N547" s="15" t="s">
        <v>21</v>
      </c>
    </row>
    <row r="548" spans="1:14" ht="14.4" x14ac:dyDescent="0.3">
      <c r="A548" s="42"/>
      <c r="B548" s="39"/>
      <c r="C548" s="39"/>
      <c r="D548" s="39"/>
      <c r="E548" s="43"/>
      <c r="F548" s="39"/>
      <c r="G548" s="39"/>
      <c r="H548" s="40"/>
      <c r="I548" s="41"/>
      <c r="J548" s="41">
        <f t="shared" si="8"/>
        <v>182</v>
      </c>
      <c r="K548" s="37">
        <v>45796</v>
      </c>
      <c r="L548" s="38" t="s">
        <v>1280</v>
      </c>
      <c r="M548" s="14" t="s">
        <v>469</v>
      </c>
      <c r="N548" s="15" t="s">
        <v>21</v>
      </c>
    </row>
    <row r="549" spans="1:14" ht="14.4" x14ac:dyDescent="0.3">
      <c r="A549" s="42"/>
      <c r="B549" s="39"/>
      <c r="C549" s="39"/>
      <c r="D549" s="39"/>
      <c r="E549" s="43"/>
      <c r="F549" s="39"/>
      <c r="G549" s="39"/>
      <c r="H549" s="40"/>
      <c r="I549" s="41"/>
      <c r="J549" s="41">
        <f t="shared" si="8"/>
        <v>182</v>
      </c>
      <c r="K549" s="37">
        <v>45796</v>
      </c>
      <c r="L549" s="38" t="s">
        <v>1280</v>
      </c>
      <c r="M549" s="14" t="s">
        <v>470</v>
      </c>
      <c r="N549" s="15" t="s">
        <v>21</v>
      </c>
    </row>
    <row r="550" spans="1:14" ht="14.4" x14ac:dyDescent="0.3">
      <c r="A550" s="42"/>
      <c r="B550" s="39"/>
      <c r="C550" s="39"/>
      <c r="D550" s="39"/>
      <c r="E550" s="43"/>
      <c r="F550" s="39"/>
      <c r="G550" s="39"/>
      <c r="H550" s="40"/>
      <c r="I550" s="41"/>
      <c r="J550" s="41">
        <f t="shared" si="8"/>
        <v>182</v>
      </c>
      <c r="K550" s="37">
        <v>45804</v>
      </c>
      <c r="L550" s="38" t="s">
        <v>1281</v>
      </c>
      <c r="M550" s="14" t="s">
        <v>471</v>
      </c>
      <c r="N550" s="15" t="s">
        <v>21</v>
      </c>
    </row>
    <row r="551" spans="1:14" ht="14.4" x14ac:dyDescent="0.3">
      <c r="A551" s="42"/>
      <c r="B551" s="39"/>
      <c r="C551" s="39"/>
      <c r="D551" s="39"/>
      <c r="E551" s="43"/>
      <c r="F551" s="39"/>
      <c r="G551" s="39"/>
      <c r="H551" s="40"/>
      <c r="I551" s="41"/>
      <c r="J551" s="41">
        <f t="shared" si="8"/>
        <v>182</v>
      </c>
      <c r="K551" s="37">
        <v>45804</v>
      </c>
      <c r="L551" s="38" t="s">
        <v>1281</v>
      </c>
      <c r="M551" s="14" t="s">
        <v>472</v>
      </c>
      <c r="N551" s="15" t="s">
        <v>21</v>
      </c>
    </row>
    <row r="552" spans="1:14" ht="14.4" hidden="1" x14ac:dyDescent="0.3">
      <c r="A552" s="42" t="s">
        <v>1144</v>
      </c>
      <c r="B552" s="39" t="s">
        <v>592</v>
      </c>
      <c r="C552" s="39" t="s">
        <v>1066</v>
      </c>
      <c r="D552" s="39" t="s">
        <v>1067</v>
      </c>
      <c r="E552" s="43" t="s">
        <v>594</v>
      </c>
      <c r="F552" s="39" t="s">
        <v>18</v>
      </c>
      <c r="G552" s="39" t="s">
        <v>19</v>
      </c>
      <c r="H552" s="40">
        <v>45804</v>
      </c>
      <c r="I552" s="41">
        <v>45826</v>
      </c>
      <c r="J552" s="41">
        <f t="shared" si="8"/>
        <v>46009</v>
      </c>
      <c r="K552" s="38" t="s">
        <v>34</v>
      </c>
      <c r="L552" s="38" t="s">
        <v>1255</v>
      </c>
      <c r="M552" s="14" t="s">
        <v>1068</v>
      </c>
      <c r="N552" s="15" t="s">
        <v>36</v>
      </c>
    </row>
    <row r="553" spans="1:14" ht="14.4" hidden="1" x14ac:dyDescent="0.3">
      <c r="A553" s="42"/>
      <c r="B553" s="39"/>
      <c r="C553" s="39"/>
      <c r="D553" s="39"/>
      <c r="E553" s="43"/>
      <c r="F553" s="39"/>
      <c r="G553" s="39"/>
      <c r="H553" s="40"/>
      <c r="I553" s="41"/>
      <c r="J553" s="41">
        <f t="shared" si="8"/>
        <v>182</v>
      </c>
      <c r="K553" s="38" t="s">
        <v>34</v>
      </c>
      <c r="L553" s="38" t="s">
        <v>1255</v>
      </c>
      <c r="M553" s="14" t="s">
        <v>1069</v>
      </c>
      <c r="N553" s="15" t="s">
        <v>36</v>
      </c>
    </row>
    <row r="554" spans="1:14" ht="14.4" hidden="1" x14ac:dyDescent="0.3">
      <c r="A554" s="42" t="s">
        <v>1145</v>
      </c>
      <c r="B554" s="39" t="s">
        <v>1146</v>
      </c>
      <c r="C554" s="39" t="s">
        <v>1147</v>
      </c>
      <c r="D554" s="39" t="s">
        <v>488</v>
      </c>
      <c r="E554" s="43">
        <v>2</v>
      </c>
      <c r="F554" s="39" t="s">
        <v>18</v>
      </c>
      <c r="G554" s="39" t="s">
        <v>19</v>
      </c>
      <c r="H554" s="40">
        <v>45804</v>
      </c>
      <c r="I554" s="41">
        <v>45826</v>
      </c>
      <c r="J554" s="41">
        <f t="shared" si="8"/>
        <v>46009</v>
      </c>
      <c r="K554" s="38" t="s">
        <v>34</v>
      </c>
      <c r="L554" s="38" t="s">
        <v>1258</v>
      </c>
      <c r="M554" s="14" t="s">
        <v>1148</v>
      </c>
      <c r="N554" s="15" t="s">
        <v>36</v>
      </c>
    </row>
    <row r="555" spans="1:14" ht="14.4" hidden="1" x14ac:dyDescent="0.3">
      <c r="A555" s="42"/>
      <c r="B555" s="39"/>
      <c r="C555" s="39"/>
      <c r="D555" s="39"/>
      <c r="E555" s="43"/>
      <c r="F555" s="39"/>
      <c r="G555" s="39"/>
      <c r="H555" s="40"/>
      <c r="I555" s="41"/>
      <c r="J555" s="41">
        <f t="shared" si="8"/>
        <v>182</v>
      </c>
      <c r="K555" s="38" t="s">
        <v>34</v>
      </c>
      <c r="L555" s="38" t="s">
        <v>1258</v>
      </c>
      <c r="M555" s="14" t="s">
        <v>1149</v>
      </c>
      <c r="N555" s="15" t="s">
        <v>36</v>
      </c>
    </row>
    <row r="556" spans="1:14" ht="14.4" hidden="1" x14ac:dyDescent="0.3">
      <c r="A556" s="42"/>
      <c r="B556" s="39"/>
      <c r="C556" s="39"/>
      <c r="D556" s="39"/>
      <c r="E556" s="43"/>
      <c r="F556" s="39"/>
      <c r="G556" s="39"/>
      <c r="H556" s="40"/>
      <c r="I556" s="41"/>
      <c r="J556" s="41">
        <f t="shared" si="8"/>
        <v>182</v>
      </c>
      <c r="K556" s="38" t="s">
        <v>34</v>
      </c>
      <c r="L556" s="38" t="s">
        <v>1258</v>
      </c>
      <c r="M556" s="14" t="s">
        <v>1150</v>
      </c>
      <c r="N556" s="15" t="s">
        <v>36</v>
      </c>
    </row>
    <row r="557" spans="1:14" ht="14.4" hidden="1" x14ac:dyDescent="0.3">
      <c r="A557" s="42"/>
      <c r="B557" s="39"/>
      <c r="C557" s="39"/>
      <c r="D557" s="39"/>
      <c r="E557" s="43"/>
      <c r="F557" s="39"/>
      <c r="G557" s="39"/>
      <c r="H557" s="40"/>
      <c r="I557" s="41"/>
      <c r="J557" s="41">
        <f t="shared" si="8"/>
        <v>182</v>
      </c>
      <c r="K557" s="38" t="s">
        <v>34</v>
      </c>
      <c r="L557" s="38" t="s">
        <v>1258</v>
      </c>
      <c r="M557" s="14" t="s">
        <v>1151</v>
      </c>
      <c r="N557" s="15" t="s">
        <v>36</v>
      </c>
    </row>
    <row r="558" spans="1:14" ht="14.4" hidden="1" x14ac:dyDescent="0.3">
      <c r="A558" s="42" t="s">
        <v>1152</v>
      </c>
      <c r="B558" s="39" t="s">
        <v>1153</v>
      </c>
      <c r="C558" s="39" t="s">
        <v>1154</v>
      </c>
      <c r="D558" s="39" t="s">
        <v>1155</v>
      </c>
      <c r="E558" s="43">
        <v>2</v>
      </c>
      <c r="F558" s="39" t="s">
        <v>18</v>
      </c>
      <c r="G558" s="39" t="s">
        <v>19</v>
      </c>
      <c r="H558" s="40">
        <v>45806</v>
      </c>
      <c r="I558" s="41">
        <v>45827</v>
      </c>
      <c r="J558" s="41">
        <f t="shared" si="8"/>
        <v>46010</v>
      </c>
      <c r="K558" s="38" t="s">
        <v>34</v>
      </c>
      <c r="L558" s="38" t="s">
        <v>1258</v>
      </c>
      <c r="M558" s="14" t="s">
        <v>1156</v>
      </c>
      <c r="N558" s="15" t="s">
        <v>36</v>
      </c>
    </row>
    <row r="559" spans="1:14" ht="14.4" hidden="1" x14ac:dyDescent="0.3">
      <c r="A559" s="42"/>
      <c r="B559" s="39"/>
      <c r="C559" s="39"/>
      <c r="D559" s="39"/>
      <c r="E559" s="43"/>
      <c r="F559" s="39"/>
      <c r="G559" s="39"/>
      <c r="H559" s="40"/>
      <c r="I559" s="41"/>
      <c r="J559" s="41">
        <f t="shared" si="8"/>
        <v>182</v>
      </c>
      <c r="K559" s="38" t="s">
        <v>34</v>
      </c>
      <c r="L559" s="38" t="s">
        <v>1244</v>
      </c>
      <c r="M559" s="14" t="s">
        <v>1157</v>
      </c>
      <c r="N559" s="15" t="s">
        <v>36</v>
      </c>
    </row>
    <row r="560" spans="1:14" ht="14.4" x14ac:dyDescent="0.3">
      <c r="A560" s="17" t="s">
        <v>1158</v>
      </c>
      <c r="B560" s="18" t="s">
        <v>1159</v>
      </c>
      <c r="C560" s="19" t="s">
        <v>1160</v>
      </c>
      <c r="D560" s="20" t="s">
        <v>1161</v>
      </c>
      <c r="E560" s="21">
        <v>7</v>
      </c>
      <c r="F560" s="12" t="s">
        <v>18</v>
      </c>
      <c r="G560" s="12" t="s">
        <v>19</v>
      </c>
      <c r="H560" s="13">
        <v>45806</v>
      </c>
      <c r="I560" s="22">
        <v>45827</v>
      </c>
      <c r="J560" s="22">
        <f t="shared" si="8"/>
        <v>46010</v>
      </c>
      <c r="K560" s="37">
        <v>45820</v>
      </c>
      <c r="L560" s="38" t="s">
        <v>1282</v>
      </c>
      <c r="M560" s="14" t="s">
        <v>1162</v>
      </c>
      <c r="N560" s="15" t="s">
        <v>21</v>
      </c>
    </row>
    <row r="561" spans="1:14" ht="14.4" hidden="1" x14ac:dyDescent="0.3">
      <c r="A561" s="17" t="s">
        <v>1163</v>
      </c>
      <c r="B561" s="18" t="s">
        <v>1164</v>
      </c>
      <c r="C561" s="19" t="s">
        <v>1165</v>
      </c>
      <c r="D561" s="20" t="s">
        <v>1020</v>
      </c>
      <c r="E561" s="21">
        <v>6</v>
      </c>
      <c r="F561" s="12" t="s">
        <v>18</v>
      </c>
      <c r="G561" s="12" t="s">
        <v>19</v>
      </c>
      <c r="H561" s="13">
        <v>45806</v>
      </c>
      <c r="I561" s="22">
        <v>45827</v>
      </c>
      <c r="J561" s="22">
        <f t="shared" si="8"/>
        <v>46010</v>
      </c>
      <c r="K561" s="38" t="s">
        <v>34</v>
      </c>
      <c r="L561" s="38" t="s">
        <v>1250</v>
      </c>
      <c r="M561" s="14" t="s">
        <v>1166</v>
      </c>
      <c r="N561" s="15" t="s">
        <v>36</v>
      </c>
    </row>
    <row r="562" spans="1:14" ht="14.4" hidden="1" x14ac:dyDescent="0.3">
      <c r="A562" s="42" t="s">
        <v>1167</v>
      </c>
      <c r="B562" s="39" t="s">
        <v>1168</v>
      </c>
      <c r="C562" s="39" t="s">
        <v>1169</v>
      </c>
      <c r="D562" s="39" t="s">
        <v>1170</v>
      </c>
      <c r="E562" s="43">
        <v>9</v>
      </c>
      <c r="F562" s="39" t="s">
        <v>18</v>
      </c>
      <c r="G562" s="39" t="s">
        <v>19</v>
      </c>
      <c r="H562" s="40">
        <v>45807</v>
      </c>
      <c r="I562" s="41">
        <v>45828</v>
      </c>
      <c r="J562" s="41">
        <f t="shared" si="8"/>
        <v>46011</v>
      </c>
      <c r="K562" s="38" t="s">
        <v>43</v>
      </c>
      <c r="L562" s="38" t="s">
        <v>716</v>
      </c>
      <c r="M562" s="28" t="s">
        <v>1171</v>
      </c>
      <c r="N562" s="15" t="s">
        <v>43</v>
      </c>
    </row>
    <row r="563" spans="1:14" ht="14.4" x14ac:dyDescent="0.3">
      <c r="A563" s="42"/>
      <c r="B563" s="39"/>
      <c r="C563" s="39"/>
      <c r="D563" s="39"/>
      <c r="E563" s="43"/>
      <c r="F563" s="39"/>
      <c r="G563" s="39"/>
      <c r="H563" s="40"/>
      <c r="I563" s="41"/>
      <c r="J563" s="41">
        <f t="shared" si="8"/>
        <v>182</v>
      </c>
      <c r="K563" s="37">
        <v>45845</v>
      </c>
      <c r="L563" s="38" t="s">
        <v>1297</v>
      </c>
      <c r="M563" s="14" t="s">
        <v>1172</v>
      </c>
      <c r="N563" s="15" t="s">
        <v>21</v>
      </c>
    </row>
    <row r="564" spans="1:14" ht="14.4" hidden="1" x14ac:dyDescent="0.3">
      <c r="A564" s="42"/>
      <c r="B564" s="39"/>
      <c r="C564" s="39"/>
      <c r="D564" s="39"/>
      <c r="E564" s="43"/>
      <c r="F564" s="39"/>
      <c r="G564" s="39"/>
      <c r="H564" s="40"/>
      <c r="I564" s="41"/>
      <c r="J564" s="41">
        <f t="shared" si="8"/>
        <v>182</v>
      </c>
      <c r="K564" s="38" t="s">
        <v>1173</v>
      </c>
      <c r="L564" s="38" t="s">
        <v>1313</v>
      </c>
      <c r="M564" s="14" t="s">
        <v>1174</v>
      </c>
      <c r="N564" s="15" t="s">
        <v>140</v>
      </c>
    </row>
    <row r="565" spans="1:14" ht="14.4" hidden="1" x14ac:dyDescent="0.3">
      <c r="A565" s="17" t="s">
        <v>1175</v>
      </c>
      <c r="B565" s="21" t="s">
        <v>1176</v>
      </c>
      <c r="C565" s="19" t="s">
        <v>1177</v>
      </c>
      <c r="D565" s="20" t="s">
        <v>1178</v>
      </c>
      <c r="E565" s="21">
        <v>5</v>
      </c>
      <c r="F565" s="12" t="s">
        <v>18</v>
      </c>
      <c r="G565" s="12" t="s">
        <v>19</v>
      </c>
      <c r="H565" s="13">
        <v>45807</v>
      </c>
      <c r="I565" s="22">
        <v>45828</v>
      </c>
      <c r="J565" s="22">
        <f t="shared" si="8"/>
        <v>46011</v>
      </c>
      <c r="K565" s="38" t="s">
        <v>34</v>
      </c>
      <c r="L565" s="38" t="s">
        <v>1251</v>
      </c>
      <c r="M565" s="14" t="s">
        <v>1179</v>
      </c>
      <c r="N565" s="15" t="s">
        <v>36</v>
      </c>
    </row>
    <row r="566" spans="1:14" ht="14.4" hidden="1" x14ac:dyDescent="0.3">
      <c r="A566" s="17" t="s">
        <v>1180</v>
      </c>
      <c r="B566" s="21" t="s">
        <v>1181</v>
      </c>
      <c r="C566" s="19" t="s">
        <v>1182</v>
      </c>
      <c r="D566" s="20" t="s">
        <v>123</v>
      </c>
      <c r="E566" s="21">
        <v>4</v>
      </c>
      <c r="F566" s="12" t="s">
        <v>18</v>
      </c>
      <c r="G566" s="12" t="s">
        <v>19</v>
      </c>
      <c r="H566" s="13">
        <v>45807</v>
      </c>
      <c r="I566" s="22">
        <v>45828</v>
      </c>
      <c r="J566" s="22">
        <f t="shared" si="8"/>
        <v>46011</v>
      </c>
      <c r="K566" s="38" t="s">
        <v>34</v>
      </c>
      <c r="L566" s="38" t="s">
        <v>1245</v>
      </c>
      <c r="M566" s="14" t="s">
        <v>1183</v>
      </c>
      <c r="N566" s="15" t="s">
        <v>36</v>
      </c>
    </row>
    <row r="567" spans="1:14" ht="14.4" hidden="1" x14ac:dyDescent="0.3">
      <c r="A567" s="17" t="s">
        <v>1184</v>
      </c>
      <c r="B567" s="25" t="s">
        <v>1185</v>
      </c>
      <c r="C567" s="26" t="s">
        <v>1186</v>
      </c>
      <c r="D567" s="10" t="s">
        <v>1187</v>
      </c>
      <c r="E567" s="21">
        <v>9</v>
      </c>
      <c r="F567" s="12" t="s">
        <v>18</v>
      </c>
      <c r="G567" s="12" t="s">
        <v>19</v>
      </c>
      <c r="H567" s="13">
        <v>45811</v>
      </c>
      <c r="I567" s="22">
        <v>45833</v>
      </c>
      <c r="J567" s="22">
        <f t="shared" si="8"/>
        <v>46016</v>
      </c>
      <c r="K567" s="38" t="s">
        <v>34</v>
      </c>
      <c r="L567" s="38" t="s">
        <v>1258</v>
      </c>
      <c r="M567" s="14" t="s">
        <v>1188</v>
      </c>
      <c r="N567" s="15" t="s">
        <v>36</v>
      </c>
    </row>
    <row r="568" spans="1:14" ht="14.4" hidden="1" x14ac:dyDescent="0.3">
      <c r="A568" s="17" t="s">
        <v>1189</v>
      </c>
      <c r="B568" s="20" t="s">
        <v>1190</v>
      </c>
      <c r="C568" s="19" t="s">
        <v>1191</v>
      </c>
      <c r="D568" s="20" t="s">
        <v>1192</v>
      </c>
      <c r="E568" s="21">
        <v>4</v>
      </c>
      <c r="F568" s="12" t="s">
        <v>18</v>
      </c>
      <c r="G568" s="12" t="s">
        <v>19</v>
      </c>
      <c r="H568" s="13">
        <v>45811</v>
      </c>
      <c r="I568" s="22">
        <v>45833</v>
      </c>
      <c r="J568" s="22">
        <f t="shared" si="8"/>
        <v>46016</v>
      </c>
      <c r="K568" s="38" t="s">
        <v>34</v>
      </c>
      <c r="L568" s="38" t="s">
        <v>1245</v>
      </c>
      <c r="M568" s="14" t="s">
        <v>1193</v>
      </c>
      <c r="N568" s="15" t="s">
        <v>36</v>
      </c>
    </row>
    <row r="569" spans="1:14" ht="14.4" hidden="1" x14ac:dyDescent="0.3">
      <c r="A569" s="17" t="s">
        <v>1194</v>
      </c>
      <c r="B569" s="20" t="s">
        <v>1195</v>
      </c>
      <c r="C569" s="19" t="s">
        <v>1196</v>
      </c>
      <c r="D569" s="20" t="s">
        <v>367</v>
      </c>
      <c r="E569" s="21">
        <v>2</v>
      </c>
      <c r="F569" s="12" t="s">
        <v>18</v>
      </c>
      <c r="G569" s="12" t="s">
        <v>19</v>
      </c>
      <c r="H569" s="13">
        <v>45811</v>
      </c>
      <c r="I569" s="22">
        <v>45833</v>
      </c>
      <c r="J569" s="22">
        <f t="shared" si="8"/>
        <v>46016</v>
      </c>
      <c r="K569" s="38" t="s">
        <v>34</v>
      </c>
      <c r="L569" s="38" t="s">
        <v>1258</v>
      </c>
      <c r="M569" s="14" t="s">
        <v>1197</v>
      </c>
      <c r="N569" s="15" t="s">
        <v>36</v>
      </c>
    </row>
    <row r="570" spans="1:14" ht="14.4" hidden="1" x14ac:dyDescent="0.3">
      <c r="A570" s="42" t="s">
        <v>1198</v>
      </c>
      <c r="B570" s="39" t="s">
        <v>1199</v>
      </c>
      <c r="C570" s="39" t="s">
        <v>1200</v>
      </c>
      <c r="D570" s="39" t="s">
        <v>1132</v>
      </c>
      <c r="E570" s="43">
        <v>10</v>
      </c>
      <c r="F570" s="39" t="s">
        <v>18</v>
      </c>
      <c r="G570" s="39" t="s">
        <v>19</v>
      </c>
      <c r="H570" s="40">
        <v>45811</v>
      </c>
      <c r="I570" s="41">
        <v>45833</v>
      </c>
      <c r="J570" s="41">
        <f t="shared" si="8"/>
        <v>46016</v>
      </c>
      <c r="K570" s="38" t="s">
        <v>34</v>
      </c>
      <c r="L570" s="38" t="s">
        <v>1255</v>
      </c>
      <c r="M570" s="14" t="s">
        <v>1133</v>
      </c>
      <c r="N570" s="15" t="s">
        <v>36</v>
      </c>
    </row>
    <row r="571" spans="1:14" ht="14.4" hidden="1" x14ac:dyDescent="0.3">
      <c r="A571" s="42"/>
      <c r="B571" s="39"/>
      <c r="C571" s="39"/>
      <c r="D571" s="39"/>
      <c r="E571" s="43"/>
      <c r="F571" s="39"/>
      <c r="G571" s="39"/>
      <c r="H571" s="40"/>
      <c r="I571" s="41"/>
      <c r="J571" s="41">
        <f t="shared" si="8"/>
        <v>182</v>
      </c>
      <c r="K571" s="38" t="s">
        <v>34</v>
      </c>
      <c r="L571" s="38" t="s">
        <v>1255</v>
      </c>
      <c r="M571" s="14" t="s">
        <v>1134</v>
      </c>
      <c r="N571" s="15" t="s">
        <v>36</v>
      </c>
    </row>
    <row r="572" spans="1:14" ht="14.4" hidden="1" x14ac:dyDescent="0.3">
      <c r="A572" s="42"/>
      <c r="B572" s="39"/>
      <c r="C572" s="39"/>
      <c r="D572" s="39"/>
      <c r="E572" s="43"/>
      <c r="F572" s="39"/>
      <c r="G572" s="39"/>
      <c r="H572" s="40"/>
      <c r="I572" s="41"/>
      <c r="J572" s="41">
        <f t="shared" si="8"/>
        <v>182</v>
      </c>
      <c r="K572" s="38" t="s">
        <v>34</v>
      </c>
      <c r="L572" s="38" t="s">
        <v>1255</v>
      </c>
      <c r="M572" s="14" t="s">
        <v>1135</v>
      </c>
      <c r="N572" s="15" t="s">
        <v>36</v>
      </c>
    </row>
    <row r="573" spans="1:14" ht="14.4" hidden="1" x14ac:dyDescent="0.3">
      <c r="A573" s="42" t="s">
        <v>1201</v>
      </c>
      <c r="B573" s="39" t="s">
        <v>1202</v>
      </c>
      <c r="C573" s="39" t="s">
        <v>1203</v>
      </c>
      <c r="D573" s="39" t="s">
        <v>1204</v>
      </c>
      <c r="E573" s="43">
        <v>6</v>
      </c>
      <c r="F573" s="39" t="s">
        <v>18</v>
      </c>
      <c r="G573" s="39" t="s">
        <v>19</v>
      </c>
      <c r="H573" s="40">
        <v>45811</v>
      </c>
      <c r="I573" s="41">
        <v>45833</v>
      </c>
      <c r="J573" s="41">
        <f t="shared" si="8"/>
        <v>46016</v>
      </c>
      <c r="K573" s="38" t="s">
        <v>43</v>
      </c>
      <c r="L573" s="38" t="s">
        <v>716</v>
      </c>
      <c r="M573" s="14" t="s">
        <v>1205</v>
      </c>
      <c r="N573" s="15" t="s">
        <v>43</v>
      </c>
    </row>
    <row r="574" spans="1:14" ht="14.4" hidden="1" x14ac:dyDescent="0.3">
      <c r="A574" s="42"/>
      <c r="B574" s="39"/>
      <c r="C574" s="39"/>
      <c r="D574" s="39"/>
      <c r="E574" s="43"/>
      <c r="F574" s="39"/>
      <c r="G574" s="39"/>
      <c r="H574" s="40"/>
      <c r="I574" s="41"/>
      <c r="J574" s="41">
        <f t="shared" si="8"/>
        <v>182</v>
      </c>
      <c r="K574" s="38" t="s">
        <v>43</v>
      </c>
      <c r="L574" s="38" t="s">
        <v>716</v>
      </c>
      <c r="M574" s="14" t="s">
        <v>1206</v>
      </c>
      <c r="N574" s="15" t="s">
        <v>43</v>
      </c>
    </row>
    <row r="575" spans="1:14" ht="14.4" hidden="1" x14ac:dyDescent="0.3">
      <c r="A575" s="42"/>
      <c r="B575" s="39"/>
      <c r="C575" s="39"/>
      <c r="D575" s="39"/>
      <c r="E575" s="43"/>
      <c r="F575" s="39"/>
      <c r="G575" s="39"/>
      <c r="H575" s="40"/>
      <c r="I575" s="41"/>
      <c r="J575" s="41">
        <f t="shared" si="8"/>
        <v>182</v>
      </c>
      <c r="K575" s="38" t="s">
        <v>43</v>
      </c>
      <c r="L575" s="38" t="s">
        <v>716</v>
      </c>
      <c r="M575" s="14" t="s">
        <v>1207</v>
      </c>
      <c r="N575" s="15" t="s">
        <v>43</v>
      </c>
    </row>
    <row r="576" spans="1:14" ht="14.4" hidden="1" x14ac:dyDescent="0.3">
      <c r="A576" s="42"/>
      <c r="B576" s="39"/>
      <c r="C576" s="39"/>
      <c r="D576" s="39"/>
      <c r="E576" s="43"/>
      <c r="F576" s="39"/>
      <c r="G576" s="39"/>
      <c r="H576" s="40"/>
      <c r="I576" s="41"/>
      <c r="J576" s="41">
        <f t="shared" si="8"/>
        <v>182</v>
      </c>
      <c r="K576" s="38" t="s">
        <v>43</v>
      </c>
      <c r="L576" s="38" t="s">
        <v>716</v>
      </c>
      <c r="M576" s="14" t="s">
        <v>1208</v>
      </c>
      <c r="N576" s="15" t="s">
        <v>43</v>
      </c>
    </row>
    <row r="577" spans="1:14" ht="14.4" hidden="1" x14ac:dyDescent="0.3">
      <c r="A577" s="42"/>
      <c r="B577" s="39"/>
      <c r="C577" s="39"/>
      <c r="D577" s="39"/>
      <c r="E577" s="43"/>
      <c r="F577" s="39"/>
      <c r="G577" s="39"/>
      <c r="H577" s="40"/>
      <c r="I577" s="41"/>
      <c r="J577" s="41">
        <f t="shared" si="8"/>
        <v>182</v>
      </c>
      <c r="K577" s="38" t="s">
        <v>43</v>
      </c>
      <c r="L577" s="38" t="s">
        <v>716</v>
      </c>
      <c r="M577" s="14" t="s">
        <v>1209</v>
      </c>
      <c r="N577" s="15" t="s">
        <v>43</v>
      </c>
    </row>
    <row r="578" spans="1:14" ht="14.4" hidden="1" x14ac:dyDescent="0.3">
      <c r="A578" s="42"/>
      <c r="B578" s="39"/>
      <c r="C578" s="39"/>
      <c r="D578" s="39"/>
      <c r="E578" s="43"/>
      <c r="F578" s="39"/>
      <c r="G578" s="39"/>
      <c r="H578" s="40"/>
      <c r="I578" s="41"/>
      <c r="J578" s="41">
        <f t="shared" si="8"/>
        <v>182</v>
      </c>
      <c r="K578" s="38" t="s">
        <v>43</v>
      </c>
      <c r="L578" s="38" t="s">
        <v>716</v>
      </c>
      <c r="M578" s="14" t="s">
        <v>1210</v>
      </c>
      <c r="N578" s="15" t="s">
        <v>43</v>
      </c>
    </row>
    <row r="579" spans="1:14" ht="14.4" hidden="1" x14ac:dyDescent="0.3">
      <c r="A579" s="42"/>
      <c r="B579" s="39"/>
      <c r="C579" s="39"/>
      <c r="D579" s="39"/>
      <c r="E579" s="43"/>
      <c r="F579" s="39"/>
      <c r="G579" s="39"/>
      <c r="H579" s="40"/>
      <c r="I579" s="41"/>
      <c r="J579" s="41">
        <f t="shared" si="8"/>
        <v>182</v>
      </c>
      <c r="K579" s="38" t="s">
        <v>43</v>
      </c>
      <c r="L579" s="38" t="s">
        <v>716</v>
      </c>
      <c r="M579" s="14" t="s">
        <v>1211</v>
      </c>
      <c r="N579" s="15" t="s">
        <v>43</v>
      </c>
    </row>
    <row r="580" spans="1:14" ht="14.4" hidden="1" x14ac:dyDescent="0.3">
      <c r="A580" s="42"/>
      <c r="B580" s="39"/>
      <c r="C580" s="39"/>
      <c r="D580" s="39"/>
      <c r="E580" s="43"/>
      <c r="F580" s="39"/>
      <c r="G580" s="39"/>
      <c r="H580" s="40"/>
      <c r="I580" s="41"/>
      <c r="J580" s="41">
        <f t="shared" si="8"/>
        <v>182</v>
      </c>
      <c r="K580" s="38" t="s">
        <v>34</v>
      </c>
      <c r="L580" s="38" t="s">
        <v>1245</v>
      </c>
      <c r="M580" s="14" t="s">
        <v>1212</v>
      </c>
      <c r="N580" s="15" t="s">
        <v>36</v>
      </c>
    </row>
    <row r="581" spans="1:14" ht="14.4" hidden="1" x14ac:dyDescent="0.3">
      <c r="A581" s="42"/>
      <c r="B581" s="39"/>
      <c r="C581" s="39"/>
      <c r="D581" s="39"/>
      <c r="E581" s="43"/>
      <c r="F581" s="39"/>
      <c r="G581" s="39"/>
      <c r="H581" s="40"/>
      <c r="I581" s="41"/>
      <c r="J581" s="41">
        <f t="shared" si="8"/>
        <v>182</v>
      </c>
      <c r="K581" s="38" t="s">
        <v>43</v>
      </c>
      <c r="L581" s="38" t="s">
        <v>716</v>
      </c>
      <c r="M581" s="14" t="s">
        <v>1213</v>
      </c>
      <c r="N581" s="15" t="s">
        <v>43</v>
      </c>
    </row>
    <row r="582" spans="1:14" ht="14.4" hidden="1" x14ac:dyDescent="0.3">
      <c r="A582" s="42"/>
      <c r="B582" s="39"/>
      <c r="C582" s="39"/>
      <c r="D582" s="39"/>
      <c r="E582" s="43"/>
      <c r="F582" s="39"/>
      <c r="G582" s="39"/>
      <c r="H582" s="40"/>
      <c r="I582" s="41"/>
      <c r="J582" s="41">
        <f t="shared" si="8"/>
        <v>182</v>
      </c>
      <c r="K582" s="38" t="s">
        <v>43</v>
      </c>
      <c r="L582" s="38" t="s">
        <v>716</v>
      </c>
      <c r="M582" s="14" t="s">
        <v>1214</v>
      </c>
      <c r="N582" s="15" t="s">
        <v>43</v>
      </c>
    </row>
    <row r="583" spans="1:14" ht="14.4" hidden="1" x14ac:dyDescent="0.3">
      <c r="A583" s="42"/>
      <c r="B583" s="39"/>
      <c r="C583" s="39"/>
      <c r="D583" s="39"/>
      <c r="E583" s="43"/>
      <c r="F583" s="39"/>
      <c r="G583" s="39"/>
      <c r="H583" s="40"/>
      <c r="I583" s="41"/>
      <c r="J583" s="41">
        <f t="shared" si="8"/>
        <v>182</v>
      </c>
      <c r="K583" s="38" t="s">
        <v>43</v>
      </c>
      <c r="L583" s="38" t="s">
        <v>716</v>
      </c>
      <c r="M583" s="14" t="s">
        <v>1215</v>
      </c>
      <c r="N583" s="15" t="s">
        <v>43</v>
      </c>
    </row>
    <row r="584" spans="1:14" ht="14.4" hidden="1" x14ac:dyDescent="0.3">
      <c r="A584" s="42"/>
      <c r="B584" s="39"/>
      <c r="C584" s="39"/>
      <c r="D584" s="39"/>
      <c r="E584" s="43"/>
      <c r="F584" s="39"/>
      <c r="G584" s="39"/>
      <c r="H584" s="40"/>
      <c r="I584" s="41"/>
      <c r="J584" s="41">
        <f t="shared" ref="J584:J592" si="9">EDATE(I584,6)</f>
        <v>182</v>
      </c>
      <c r="K584" s="38" t="s">
        <v>43</v>
      </c>
      <c r="L584" s="38" t="s">
        <v>716</v>
      </c>
      <c r="M584" s="14" t="s">
        <v>1216</v>
      </c>
      <c r="N584" s="15" t="s">
        <v>43</v>
      </c>
    </row>
    <row r="585" spans="1:14" ht="14.4" hidden="1" x14ac:dyDescent="0.3">
      <c r="A585" s="9" t="s">
        <v>1217</v>
      </c>
      <c r="B585" s="20" t="s">
        <v>1218</v>
      </c>
      <c r="C585" s="19" t="s">
        <v>1219</v>
      </c>
      <c r="D585" s="20" t="s">
        <v>1220</v>
      </c>
      <c r="E585" s="21">
        <v>6</v>
      </c>
      <c r="F585" s="12" t="s">
        <v>18</v>
      </c>
      <c r="G585" s="12" t="s">
        <v>19</v>
      </c>
      <c r="H585" s="13">
        <v>45811</v>
      </c>
      <c r="I585" s="22">
        <v>45833</v>
      </c>
      <c r="J585" s="22">
        <f t="shared" si="9"/>
        <v>46016</v>
      </c>
      <c r="K585" s="38" t="s">
        <v>34</v>
      </c>
      <c r="L585" s="38" t="s">
        <v>1250</v>
      </c>
      <c r="M585" s="14" t="s">
        <v>1221</v>
      </c>
      <c r="N585" s="15" t="s">
        <v>36</v>
      </c>
    </row>
    <row r="586" spans="1:14" ht="14.4" x14ac:dyDescent="0.3">
      <c r="A586" s="42" t="s">
        <v>1222</v>
      </c>
      <c r="B586" s="39" t="s">
        <v>1223</v>
      </c>
      <c r="C586" s="39" t="s">
        <v>1224</v>
      </c>
      <c r="D586" s="39" t="s">
        <v>1225</v>
      </c>
      <c r="E586" s="43">
        <v>2</v>
      </c>
      <c r="F586" s="39" t="s">
        <v>18</v>
      </c>
      <c r="G586" s="39" t="s">
        <v>19</v>
      </c>
      <c r="H586" s="40">
        <v>45811</v>
      </c>
      <c r="I586" s="41">
        <v>45833</v>
      </c>
      <c r="J586" s="41">
        <f t="shared" si="9"/>
        <v>46016</v>
      </c>
      <c r="K586" s="37">
        <v>45841</v>
      </c>
      <c r="L586" s="38" t="s">
        <v>1307</v>
      </c>
      <c r="M586" s="14" t="s">
        <v>1226</v>
      </c>
      <c r="N586" s="15" t="s">
        <v>21</v>
      </c>
    </row>
    <row r="587" spans="1:14" ht="14.4" x14ac:dyDescent="0.3">
      <c r="A587" s="42"/>
      <c r="B587" s="39"/>
      <c r="C587" s="39"/>
      <c r="D587" s="39"/>
      <c r="E587" s="43"/>
      <c r="F587" s="39"/>
      <c r="G587" s="39"/>
      <c r="H587" s="40"/>
      <c r="I587" s="41"/>
      <c r="J587" s="41">
        <f t="shared" si="9"/>
        <v>182</v>
      </c>
      <c r="K587" s="37">
        <v>45841</v>
      </c>
      <c r="L587" s="38" t="s">
        <v>1307</v>
      </c>
      <c r="M587" s="14" t="s">
        <v>1227</v>
      </c>
      <c r="N587" s="15" t="s">
        <v>21</v>
      </c>
    </row>
    <row r="588" spans="1:14" ht="14.4" hidden="1" x14ac:dyDescent="0.3">
      <c r="A588" s="42"/>
      <c r="B588" s="39"/>
      <c r="C588" s="39"/>
      <c r="D588" s="39"/>
      <c r="E588" s="43"/>
      <c r="F588" s="39"/>
      <c r="G588" s="39"/>
      <c r="H588" s="40"/>
      <c r="I588" s="41"/>
      <c r="J588" s="41">
        <f t="shared" si="9"/>
        <v>182</v>
      </c>
      <c r="K588" s="38" t="s">
        <v>43</v>
      </c>
      <c r="L588" s="38" t="s">
        <v>43</v>
      </c>
      <c r="M588" s="14" t="s">
        <v>1228</v>
      </c>
      <c r="N588" s="15" t="s">
        <v>1229</v>
      </c>
    </row>
    <row r="589" spans="1:14" ht="14.4" x14ac:dyDescent="0.3">
      <c r="A589" s="42"/>
      <c r="B589" s="39"/>
      <c r="C589" s="39"/>
      <c r="D589" s="39"/>
      <c r="E589" s="43"/>
      <c r="F589" s="39"/>
      <c r="G589" s="39"/>
      <c r="H589" s="40"/>
      <c r="I589" s="41"/>
      <c r="J589" s="41">
        <f t="shared" si="9"/>
        <v>182</v>
      </c>
      <c r="K589" s="37">
        <v>45841</v>
      </c>
      <c r="L589" s="38" t="s">
        <v>1307</v>
      </c>
      <c r="M589" s="14" t="s">
        <v>1230</v>
      </c>
      <c r="N589" s="15" t="s">
        <v>21</v>
      </c>
    </row>
    <row r="590" spans="1:14" ht="14.4" x14ac:dyDescent="0.3">
      <c r="A590" s="42"/>
      <c r="B590" s="39"/>
      <c r="C590" s="39"/>
      <c r="D590" s="39"/>
      <c r="E590" s="43"/>
      <c r="F590" s="39"/>
      <c r="G590" s="39"/>
      <c r="H590" s="40"/>
      <c r="I590" s="41"/>
      <c r="J590" s="41">
        <f t="shared" si="9"/>
        <v>182</v>
      </c>
      <c r="K590" s="37">
        <v>45841</v>
      </c>
      <c r="L590" s="38" t="s">
        <v>1307</v>
      </c>
      <c r="M590" s="14" t="s">
        <v>1231</v>
      </c>
      <c r="N590" s="15" t="s">
        <v>21</v>
      </c>
    </row>
    <row r="591" spans="1:14" ht="14.4" hidden="1" x14ac:dyDescent="0.3">
      <c r="A591" s="16" t="s">
        <v>1232</v>
      </c>
      <c r="B591" s="20" t="s">
        <v>1233</v>
      </c>
      <c r="C591" s="19" t="s">
        <v>1234</v>
      </c>
      <c r="D591" s="20" t="s">
        <v>723</v>
      </c>
      <c r="E591" s="21">
        <v>7</v>
      </c>
      <c r="F591" s="12" t="s">
        <v>18</v>
      </c>
      <c r="G591" s="12" t="s">
        <v>19</v>
      </c>
      <c r="H591" s="13">
        <v>45812</v>
      </c>
      <c r="I591" s="22">
        <v>45834</v>
      </c>
      <c r="J591" s="22">
        <f t="shared" si="9"/>
        <v>46017</v>
      </c>
      <c r="K591" s="38" t="s">
        <v>34</v>
      </c>
      <c r="L591" s="38" t="s">
        <v>1251</v>
      </c>
      <c r="M591" s="14" t="s">
        <v>1235</v>
      </c>
      <c r="N591" s="15" t="s">
        <v>36</v>
      </c>
    </row>
    <row r="592" spans="1:14" ht="14.4" hidden="1" x14ac:dyDescent="0.3">
      <c r="A592" s="9" t="s">
        <v>1236</v>
      </c>
      <c r="B592" s="20" t="s">
        <v>1237</v>
      </c>
      <c r="C592" s="19" t="s">
        <v>1238</v>
      </c>
      <c r="D592" s="20" t="s">
        <v>123</v>
      </c>
      <c r="E592" s="21">
        <v>4</v>
      </c>
      <c r="F592" s="12" t="s">
        <v>18</v>
      </c>
      <c r="G592" s="12" t="s">
        <v>19</v>
      </c>
      <c r="H592" s="13">
        <v>45813</v>
      </c>
      <c r="I592" s="22">
        <v>45835</v>
      </c>
      <c r="J592" s="22">
        <f t="shared" si="9"/>
        <v>46018</v>
      </c>
      <c r="K592" s="38" t="s">
        <v>34</v>
      </c>
      <c r="L592" s="38" t="s">
        <v>1258</v>
      </c>
      <c r="M592" s="14" t="s">
        <v>1188</v>
      </c>
      <c r="N592" s="15" t="s">
        <v>36</v>
      </c>
    </row>
  </sheetData>
  <autoFilter ref="A1:N592" xr:uid="{A6F7E103-400D-4272-9718-B5B2D05708C1}">
    <filterColumn colId="13">
      <filters>
        <filter val="YA EJECUTADA"/>
      </filters>
    </filterColumn>
  </autoFilter>
  <mergeCells count="1049">
    <mergeCell ref="G5:G6"/>
    <mergeCell ref="H5:H6"/>
    <mergeCell ref="I5:I6"/>
    <mergeCell ref="J5:J6"/>
    <mergeCell ref="A10:A11"/>
    <mergeCell ref="B10:B11"/>
    <mergeCell ref="C10:C11"/>
    <mergeCell ref="D10:D11"/>
    <mergeCell ref="E10:E11"/>
    <mergeCell ref="F10:F11"/>
    <mergeCell ref="G2:G4"/>
    <mergeCell ref="H2:H4"/>
    <mergeCell ref="I2:I4"/>
    <mergeCell ref="J2:J4"/>
    <mergeCell ref="A5:A6"/>
    <mergeCell ref="B5:B6"/>
    <mergeCell ref="C5:C6"/>
    <mergeCell ref="D5:D6"/>
    <mergeCell ref="E5:E6"/>
    <mergeCell ref="F5:F6"/>
    <mergeCell ref="A2:A4"/>
    <mergeCell ref="B2:B4"/>
    <mergeCell ref="C2:C4"/>
    <mergeCell ref="D2:D4"/>
    <mergeCell ref="E2:E4"/>
    <mergeCell ref="F2:F4"/>
    <mergeCell ref="G12:G19"/>
    <mergeCell ref="H12:H19"/>
    <mergeCell ref="I12:I19"/>
    <mergeCell ref="J12:J19"/>
    <mergeCell ref="A20:A32"/>
    <mergeCell ref="B20:B32"/>
    <mergeCell ref="C20:C32"/>
    <mergeCell ref="D20:D32"/>
    <mergeCell ref="E20:E32"/>
    <mergeCell ref="F20:F32"/>
    <mergeCell ref="G10:G11"/>
    <mergeCell ref="H10:H11"/>
    <mergeCell ref="I10:I11"/>
    <mergeCell ref="J10:J11"/>
    <mergeCell ref="A12:A19"/>
    <mergeCell ref="B12:B19"/>
    <mergeCell ref="C12:C19"/>
    <mergeCell ref="D12:D19"/>
    <mergeCell ref="E12:E19"/>
    <mergeCell ref="F12:F19"/>
    <mergeCell ref="G33:G34"/>
    <mergeCell ref="H33:H34"/>
    <mergeCell ref="I33:I34"/>
    <mergeCell ref="J33:J34"/>
    <mergeCell ref="A37:A38"/>
    <mergeCell ref="B37:B38"/>
    <mergeCell ref="C37:C38"/>
    <mergeCell ref="D37:D38"/>
    <mergeCell ref="E37:E38"/>
    <mergeCell ref="F37:F38"/>
    <mergeCell ref="G20:G32"/>
    <mergeCell ref="H20:H32"/>
    <mergeCell ref="I20:I32"/>
    <mergeCell ref="J20:J32"/>
    <mergeCell ref="A33:A34"/>
    <mergeCell ref="B33:B34"/>
    <mergeCell ref="C33:C34"/>
    <mergeCell ref="D33:D34"/>
    <mergeCell ref="E33:E34"/>
    <mergeCell ref="F33:F34"/>
    <mergeCell ref="G41:G42"/>
    <mergeCell ref="H41:H42"/>
    <mergeCell ref="I41:I42"/>
    <mergeCell ref="J41:J42"/>
    <mergeCell ref="A43:A47"/>
    <mergeCell ref="B43:B47"/>
    <mergeCell ref="C43:C47"/>
    <mergeCell ref="D43:D47"/>
    <mergeCell ref="E43:E47"/>
    <mergeCell ref="F43:F47"/>
    <mergeCell ref="G37:G38"/>
    <mergeCell ref="H37:H38"/>
    <mergeCell ref="I37:I38"/>
    <mergeCell ref="J37:J38"/>
    <mergeCell ref="A41:A42"/>
    <mergeCell ref="B41:B42"/>
    <mergeCell ref="C41:C42"/>
    <mergeCell ref="D41:D42"/>
    <mergeCell ref="E41:E42"/>
    <mergeCell ref="F41:F42"/>
    <mergeCell ref="G48:G49"/>
    <mergeCell ref="H48:H49"/>
    <mergeCell ref="I48:I49"/>
    <mergeCell ref="J48:J49"/>
    <mergeCell ref="A52:A55"/>
    <mergeCell ref="B52:B55"/>
    <mergeCell ref="C52:C55"/>
    <mergeCell ref="D52:D55"/>
    <mergeCell ref="E52:E55"/>
    <mergeCell ref="F52:F55"/>
    <mergeCell ref="G43:G47"/>
    <mergeCell ref="H43:H47"/>
    <mergeCell ref="I43:I47"/>
    <mergeCell ref="J43:J47"/>
    <mergeCell ref="A48:A49"/>
    <mergeCell ref="B48:B49"/>
    <mergeCell ref="C48:C49"/>
    <mergeCell ref="D48:D49"/>
    <mergeCell ref="E48:E49"/>
    <mergeCell ref="F48:F49"/>
    <mergeCell ref="G56:G60"/>
    <mergeCell ref="H56:H60"/>
    <mergeCell ref="I56:I60"/>
    <mergeCell ref="J56:J60"/>
    <mergeCell ref="A63:A64"/>
    <mergeCell ref="B63:B64"/>
    <mergeCell ref="C63:C64"/>
    <mergeCell ref="D63:D64"/>
    <mergeCell ref="E63:E64"/>
    <mergeCell ref="F63:F64"/>
    <mergeCell ref="G52:G55"/>
    <mergeCell ref="H52:H55"/>
    <mergeCell ref="I52:I55"/>
    <mergeCell ref="J52:J55"/>
    <mergeCell ref="A56:A60"/>
    <mergeCell ref="B56:B60"/>
    <mergeCell ref="C56:C60"/>
    <mergeCell ref="D56:D60"/>
    <mergeCell ref="E56:E60"/>
    <mergeCell ref="F56:F60"/>
    <mergeCell ref="G66:G68"/>
    <mergeCell ref="H66:H68"/>
    <mergeCell ref="I66:I68"/>
    <mergeCell ref="J66:J68"/>
    <mergeCell ref="A71:A74"/>
    <mergeCell ref="B71:B74"/>
    <mergeCell ref="C71:C74"/>
    <mergeCell ref="D71:D74"/>
    <mergeCell ref="E71:E74"/>
    <mergeCell ref="F71:F74"/>
    <mergeCell ref="G63:G64"/>
    <mergeCell ref="H63:H64"/>
    <mergeCell ref="I63:I64"/>
    <mergeCell ref="J63:J64"/>
    <mergeCell ref="A66:A68"/>
    <mergeCell ref="B66:B68"/>
    <mergeCell ref="C66:C68"/>
    <mergeCell ref="D66:D68"/>
    <mergeCell ref="E66:E68"/>
    <mergeCell ref="F66:F68"/>
    <mergeCell ref="G77:G78"/>
    <mergeCell ref="H77:H78"/>
    <mergeCell ref="I77:I78"/>
    <mergeCell ref="J77:J78"/>
    <mergeCell ref="A81:A83"/>
    <mergeCell ref="B81:B83"/>
    <mergeCell ref="C81:C83"/>
    <mergeCell ref="D81:D83"/>
    <mergeCell ref="E81:E83"/>
    <mergeCell ref="F81:F83"/>
    <mergeCell ref="G71:G74"/>
    <mergeCell ref="H71:H74"/>
    <mergeCell ref="I71:I74"/>
    <mergeCell ref="J71:J74"/>
    <mergeCell ref="A77:A78"/>
    <mergeCell ref="B77:B78"/>
    <mergeCell ref="C77:C78"/>
    <mergeCell ref="D77:D78"/>
    <mergeCell ref="E77:E78"/>
    <mergeCell ref="F77:F78"/>
    <mergeCell ref="G84:G92"/>
    <mergeCell ref="H84:H92"/>
    <mergeCell ref="I84:I92"/>
    <mergeCell ref="J84:J92"/>
    <mergeCell ref="A96:A106"/>
    <mergeCell ref="B96:B106"/>
    <mergeCell ref="C96:C106"/>
    <mergeCell ref="D96:D106"/>
    <mergeCell ref="E96:E106"/>
    <mergeCell ref="F96:F106"/>
    <mergeCell ref="G81:G83"/>
    <mergeCell ref="H81:H83"/>
    <mergeCell ref="I81:I83"/>
    <mergeCell ref="J81:J83"/>
    <mergeCell ref="A84:A92"/>
    <mergeCell ref="B84:B92"/>
    <mergeCell ref="C84:C92"/>
    <mergeCell ref="D84:D92"/>
    <mergeCell ref="E84:E92"/>
    <mergeCell ref="F84:F92"/>
    <mergeCell ref="G107:G112"/>
    <mergeCell ref="H107:H112"/>
    <mergeCell ref="I107:I112"/>
    <mergeCell ref="J107:J112"/>
    <mergeCell ref="A113:A121"/>
    <mergeCell ref="B113:B121"/>
    <mergeCell ref="C113:C121"/>
    <mergeCell ref="D113:D121"/>
    <mergeCell ref="E113:E121"/>
    <mergeCell ref="F113:F121"/>
    <mergeCell ref="G96:G106"/>
    <mergeCell ref="H96:H106"/>
    <mergeCell ref="I96:I106"/>
    <mergeCell ref="J96:J106"/>
    <mergeCell ref="A107:A112"/>
    <mergeCell ref="B107:B112"/>
    <mergeCell ref="C107:C112"/>
    <mergeCell ref="D107:D112"/>
    <mergeCell ref="E107:E112"/>
    <mergeCell ref="F107:F112"/>
    <mergeCell ref="G122:G124"/>
    <mergeCell ref="H122:H124"/>
    <mergeCell ref="I122:I124"/>
    <mergeCell ref="J122:J124"/>
    <mergeCell ref="A125:A129"/>
    <mergeCell ref="B125:B129"/>
    <mergeCell ref="C125:C129"/>
    <mergeCell ref="D125:D129"/>
    <mergeCell ref="E125:E129"/>
    <mergeCell ref="F125:F129"/>
    <mergeCell ref="G113:G121"/>
    <mergeCell ref="H113:H121"/>
    <mergeCell ref="I113:I121"/>
    <mergeCell ref="J113:J121"/>
    <mergeCell ref="A122:A124"/>
    <mergeCell ref="B122:B124"/>
    <mergeCell ref="C122:C124"/>
    <mergeCell ref="D122:D124"/>
    <mergeCell ref="E122:E124"/>
    <mergeCell ref="F122:F124"/>
    <mergeCell ref="G131:G142"/>
    <mergeCell ref="H131:H142"/>
    <mergeCell ref="I131:I142"/>
    <mergeCell ref="J131:J142"/>
    <mergeCell ref="A144:A145"/>
    <mergeCell ref="B144:B145"/>
    <mergeCell ref="C144:C145"/>
    <mergeCell ref="D144:D145"/>
    <mergeCell ref="E144:E145"/>
    <mergeCell ref="F144:F145"/>
    <mergeCell ref="G125:G129"/>
    <mergeCell ref="H125:H129"/>
    <mergeCell ref="I125:I129"/>
    <mergeCell ref="J125:J129"/>
    <mergeCell ref="A131:A142"/>
    <mergeCell ref="B131:B142"/>
    <mergeCell ref="C131:C142"/>
    <mergeCell ref="D131:D142"/>
    <mergeCell ref="E131:E142"/>
    <mergeCell ref="F131:F142"/>
    <mergeCell ref="G146:G147"/>
    <mergeCell ref="H146:H147"/>
    <mergeCell ref="I146:I147"/>
    <mergeCell ref="J146:J147"/>
    <mergeCell ref="A149:A150"/>
    <mergeCell ref="B149:B150"/>
    <mergeCell ref="C149:C150"/>
    <mergeCell ref="D149:D150"/>
    <mergeCell ref="E149:E150"/>
    <mergeCell ref="F149:F150"/>
    <mergeCell ref="G144:G145"/>
    <mergeCell ref="H144:H145"/>
    <mergeCell ref="I144:I145"/>
    <mergeCell ref="J144:J145"/>
    <mergeCell ref="A146:A147"/>
    <mergeCell ref="B146:B147"/>
    <mergeCell ref="C146:C147"/>
    <mergeCell ref="D146:D147"/>
    <mergeCell ref="E146:E147"/>
    <mergeCell ref="F146:F147"/>
    <mergeCell ref="G155:G169"/>
    <mergeCell ref="H155:H169"/>
    <mergeCell ref="I155:I169"/>
    <mergeCell ref="J155:J169"/>
    <mergeCell ref="A170:A172"/>
    <mergeCell ref="B170:B172"/>
    <mergeCell ref="C170:C172"/>
    <mergeCell ref="D170:D172"/>
    <mergeCell ref="E170:E172"/>
    <mergeCell ref="F170:F172"/>
    <mergeCell ref="G149:G150"/>
    <mergeCell ref="H149:H150"/>
    <mergeCell ref="I149:I150"/>
    <mergeCell ref="J149:J150"/>
    <mergeCell ref="A155:A169"/>
    <mergeCell ref="B155:B169"/>
    <mergeCell ref="C155:C169"/>
    <mergeCell ref="D155:D169"/>
    <mergeCell ref="E155:E169"/>
    <mergeCell ref="F155:F169"/>
    <mergeCell ref="G173:G178"/>
    <mergeCell ref="H173:H178"/>
    <mergeCell ref="I173:I178"/>
    <mergeCell ref="J173:J178"/>
    <mergeCell ref="A179:A186"/>
    <mergeCell ref="B179:B186"/>
    <mergeCell ref="C179:C186"/>
    <mergeCell ref="D179:D186"/>
    <mergeCell ref="E179:E186"/>
    <mergeCell ref="F179:F186"/>
    <mergeCell ref="G170:G172"/>
    <mergeCell ref="H170:H172"/>
    <mergeCell ref="I170:I172"/>
    <mergeCell ref="J170:J172"/>
    <mergeCell ref="A173:A178"/>
    <mergeCell ref="B173:B178"/>
    <mergeCell ref="C173:C178"/>
    <mergeCell ref="D173:D178"/>
    <mergeCell ref="E173:E178"/>
    <mergeCell ref="F173:F178"/>
    <mergeCell ref="G187:G188"/>
    <mergeCell ref="H187:H188"/>
    <mergeCell ref="I187:I188"/>
    <mergeCell ref="J187:J188"/>
    <mergeCell ref="A191:A192"/>
    <mergeCell ref="B191:B192"/>
    <mergeCell ref="C191:C192"/>
    <mergeCell ref="D191:D192"/>
    <mergeCell ref="E191:E192"/>
    <mergeCell ref="F191:F192"/>
    <mergeCell ref="G179:G186"/>
    <mergeCell ref="H179:H186"/>
    <mergeCell ref="I179:I186"/>
    <mergeCell ref="J179:J186"/>
    <mergeCell ref="A187:A188"/>
    <mergeCell ref="B187:B188"/>
    <mergeCell ref="C187:C188"/>
    <mergeCell ref="D187:D188"/>
    <mergeCell ref="E187:E188"/>
    <mergeCell ref="F187:F188"/>
    <mergeCell ref="G193:G194"/>
    <mergeCell ref="H193:H194"/>
    <mergeCell ref="I193:I194"/>
    <mergeCell ref="J193:J194"/>
    <mergeCell ref="A196:A201"/>
    <mergeCell ref="B196:B201"/>
    <mergeCell ref="C196:C201"/>
    <mergeCell ref="D196:D201"/>
    <mergeCell ref="E196:E201"/>
    <mergeCell ref="F196:F201"/>
    <mergeCell ref="G191:G192"/>
    <mergeCell ref="H191:H192"/>
    <mergeCell ref="I191:I192"/>
    <mergeCell ref="J191:J192"/>
    <mergeCell ref="A193:A194"/>
    <mergeCell ref="B193:B194"/>
    <mergeCell ref="C193:C194"/>
    <mergeCell ref="D193:D194"/>
    <mergeCell ref="E193:E194"/>
    <mergeCell ref="F193:F194"/>
    <mergeCell ref="G202:G214"/>
    <mergeCell ref="H202:H214"/>
    <mergeCell ref="I202:I214"/>
    <mergeCell ref="J202:J214"/>
    <mergeCell ref="A217:A219"/>
    <mergeCell ref="B217:B219"/>
    <mergeCell ref="C217:C219"/>
    <mergeCell ref="D217:D219"/>
    <mergeCell ref="E217:E219"/>
    <mergeCell ref="F217:F219"/>
    <mergeCell ref="G196:G201"/>
    <mergeCell ref="H196:H201"/>
    <mergeCell ref="I196:I201"/>
    <mergeCell ref="J196:J201"/>
    <mergeCell ref="A202:A214"/>
    <mergeCell ref="B202:B214"/>
    <mergeCell ref="C202:C214"/>
    <mergeCell ref="D202:D214"/>
    <mergeCell ref="E202:E214"/>
    <mergeCell ref="F202:F214"/>
    <mergeCell ref="G222:G225"/>
    <mergeCell ref="H222:H225"/>
    <mergeCell ref="I222:I225"/>
    <mergeCell ref="J222:J225"/>
    <mergeCell ref="A227:A228"/>
    <mergeCell ref="B227:B228"/>
    <mergeCell ref="C227:C228"/>
    <mergeCell ref="D227:D228"/>
    <mergeCell ref="E227:E228"/>
    <mergeCell ref="F227:F228"/>
    <mergeCell ref="G217:G219"/>
    <mergeCell ref="H217:H219"/>
    <mergeCell ref="I217:I219"/>
    <mergeCell ref="J217:J219"/>
    <mergeCell ref="A222:A225"/>
    <mergeCell ref="B222:B225"/>
    <mergeCell ref="C222:C225"/>
    <mergeCell ref="D222:D225"/>
    <mergeCell ref="E222:E225"/>
    <mergeCell ref="F222:F225"/>
    <mergeCell ref="G229:G234"/>
    <mergeCell ref="H229:H234"/>
    <mergeCell ref="I229:I234"/>
    <mergeCell ref="J229:J234"/>
    <mergeCell ref="A238:A240"/>
    <mergeCell ref="B238:B240"/>
    <mergeCell ref="C238:C240"/>
    <mergeCell ref="D238:D240"/>
    <mergeCell ref="E238:E240"/>
    <mergeCell ref="F238:F240"/>
    <mergeCell ref="G227:G228"/>
    <mergeCell ref="H227:H228"/>
    <mergeCell ref="I227:I228"/>
    <mergeCell ref="A229:A234"/>
    <mergeCell ref="B229:B234"/>
    <mergeCell ref="C229:C234"/>
    <mergeCell ref="D229:D234"/>
    <mergeCell ref="E229:E234"/>
    <mergeCell ref="F229:F234"/>
    <mergeCell ref="G241:G243"/>
    <mergeCell ref="H241:H243"/>
    <mergeCell ref="I241:I243"/>
    <mergeCell ref="J241:J243"/>
    <mergeCell ref="A249:A250"/>
    <mergeCell ref="B249:B250"/>
    <mergeCell ref="C249:C250"/>
    <mergeCell ref="D249:D250"/>
    <mergeCell ref="E249:E250"/>
    <mergeCell ref="F249:F250"/>
    <mergeCell ref="G238:G240"/>
    <mergeCell ref="H238:H240"/>
    <mergeCell ref="I238:I240"/>
    <mergeCell ref="J238:J240"/>
    <mergeCell ref="A241:A243"/>
    <mergeCell ref="B241:B243"/>
    <mergeCell ref="C241:C243"/>
    <mergeCell ref="D241:D243"/>
    <mergeCell ref="E241:E243"/>
    <mergeCell ref="F241:F243"/>
    <mergeCell ref="G252:G292"/>
    <mergeCell ref="H252:H292"/>
    <mergeCell ref="I252:I292"/>
    <mergeCell ref="J252:J292"/>
    <mergeCell ref="A293:A307"/>
    <mergeCell ref="B293:B307"/>
    <mergeCell ref="C293:C307"/>
    <mergeCell ref="D293:D307"/>
    <mergeCell ref="E293:E307"/>
    <mergeCell ref="F293:F307"/>
    <mergeCell ref="G249:G250"/>
    <mergeCell ref="H249:H250"/>
    <mergeCell ref="I249:I250"/>
    <mergeCell ref="J249:J250"/>
    <mergeCell ref="A252:A292"/>
    <mergeCell ref="B252:B292"/>
    <mergeCell ref="C252:C292"/>
    <mergeCell ref="D252:D292"/>
    <mergeCell ref="E252:E292"/>
    <mergeCell ref="F252:F292"/>
    <mergeCell ref="G308:G316"/>
    <mergeCell ref="H308:H316"/>
    <mergeCell ref="I308:I316"/>
    <mergeCell ref="J308:J316"/>
    <mergeCell ref="A317:A318"/>
    <mergeCell ref="B317:B318"/>
    <mergeCell ref="C317:C318"/>
    <mergeCell ref="D317:D318"/>
    <mergeCell ref="E317:E318"/>
    <mergeCell ref="F317:F318"/>
    <mergeCell ref="G293:G307"/>
    <mergeCell ref="H293:H307"/>
    <mergeCell ref="I293:I307"/>
    <mergeCell ref="J293:J307"/>
    <mergeCell ref="A308:A316"/>
    <mergeCell ref="B308:B316"/>
    <mergeCell ref="C308:C316"/>
    <mergeCell ref="D308:D316"/>
    <mergeCell ref="E308:E316"/>
    <mergeCell ref="F308:F316"/>
    <mergeCell ref="G319:G324"/>
    <mergeCell ref="H319:H324"/>
    <mergeCell ref="I319:I324"/>
    <mergeCell ref="J319:J324"/>
    <mergeCell ref="A326:A328"/>
    <mergeCell ref="B326:B328"/>
    <mergeCell ref="C326:C328"/>
    <mergeCell ref="D326:D328"/>
    <mergeCell ref="E326:E328"/>
    <mergeCell ref="F326:F328"/>
    <mergeCell ref="G317:G318"/>
    <mergeCell ref="H317:H318"/>
    <mergeCell ref="I317:I318"/>
    <mergeCell ref="J317:J318"/>
    <mergeCell ref="A319:A324"/>
    <mergeCell ref="B319:B324"/>
    <mergeCell ref="C319:C324"/>
    <mergeCell ref="D319:D324"/>
    <mergeCell ref="E319:E324"/>
    <mergeCell ref="F319:F324"/>
    <mergeCell ref="G332:G333"/>
    <mergeCell ref="H332:H333"/>
    <mergeCell ref="I332:I333"/>
    <mergeCell ref="J332:J333"/>
    <mergeCell ref="A334:A337"/>
    <mergeCell ref="B334:B337"/>
    <mergeCell ref="C334:C337"/>
    <mergeCell ref="D334:D337"/>
    <mergeCell ref="E334:E337"/>
    <mergeCell ref="F334:F337"/>
    <mergeCell ref="G326:G328"/>
    <mergeCell ref="H326:H328"/>
    <mergeCell ref="I326:I328"/>
    <mergeCell ref="J326:J328"/>
    <mergeCell ref="A332:A333"/>
    <mergeCell ref="B332:B333"/>
    <mergeCell ref="C332:C333"/>
    <mergeCell ref="D332:D333"/>
    <mergeCell ref="E332:E333"/>
    <mergeCell ref="F332:F333"/>
    <mergeCell ref="G342:G345"/>
    <mergeCell ref="H342:H345"/>
    <mergeCell ref="I342:I345"/>
    <mergeCell ref="J342:J345"/>
    <mergeCell ref="A352:A356"/>
    <mergeCell ref="B352:B356"/>
    <mergeCell ref="C352:C356"/>
    <mergeCell ref="D352:D356"/>
    <mergeCell ref="E352:E356"/>
    <mergeCell ref="F352:F356"/>
    <mergeCell ref="G334:G337"/>
    <mergeCell ref="H334:H337"/>
    <mergeCell ref="I334:I337"/>
    <mergeCell ref="J334:J337"/>
    <mergeCell ref="A342:A345"/>
    <mergeCell ref="B342:B345"/>
    <mergeCell ref="C342:C345"/>
    <mergeCell ref="D342:D345"/>
    <mergeCell ref="E342:E345"/>
    <mergeCell ref="F342:F345"/>
    <mergeCell ref="G357:G359"/>
    <mergeCell ref="H357:H359"/>
    <mergeCell ref="I357:I359"/>
    <mergeCell ref="J357:J359"/>
    <mergeCell ref="A363:A364"/>
    <mergeCell ref="B363:B364"/>
    <mergeCell ref="C363:C364"/>
    <mergeCell ref="D363:D364"/>
    <mergeCell ref="E363:E364"/>
    <mergeCell ref="F363:F364"/>
    <mergeCell ref="G352:G356"/>
    <mergeCell ref="H352:H356"/>
    <mergeCell ref="I352:I356"/>
    <mergeCell ref="J352:J356"/>
    <mergeCell ref="A357:A359"/>
    <mergeCell ref="B357:B359"/>
    <mergeCell ref="C357:C359"/>
    <mergeCell ref="D357:D359"/>
    <mergeCell ref="E357:E359"/>
    <mergeCell ref="F357:F359"/>
    <mergeCell ref="G365:G366"/>
    <mergeCell ref="H365:H366"/>
    <mergeCell ref="I365:I366"/>
    <mergeCell ref="J365:J366"/>
    <mergeCell ref="A367:A368"/>
    <mergeCell ref="B367:B368"/>
    <mergeCell ref="C367:C368"/>
    <mergeCell ref="D367:D368"/>
    <mergeCell ref="E367:E368"/>
    <mergeCell ref="F367:F368"/>
    <mergeCell ref="G363:G364"/>
    <mergeCell ref="H363:H364"/>
    <mergeCell ref="I363:I364"/>
    <mergeCell ref="J363:J364"/>
    <mergeCell ref="A365:A366"/>
    <mergeCell ref="B365:B366"/>
    <mergeCell ref="C365:C366"/>
    <mergeCell ref="D365:D366"/>
    <mergeCell ref="E365:E366"/>
    <mergeCell ref="F365:F366"/>
    <mergeCell ref="G369:G373"/>
    <mergeCell ref="H369:H373"/>
    <mergeCell ref="I369:I373"/>
    <mergeCell ref="J369:J373"/>
    <mergeCell ref="A375:A376"/>
    <mergeCell ref="B375:B376"/>
    <mergeCell ref="C375:C376"/>
    <mergeCell ref="D375:D376"/>
    <mergeCell ref="E375:E376"/>
    <mergeCell ref="F375:F376"/>
    <mergeCell ref="G367:G368"/>
    <mergeCell ref="H367:H368"/>
    <mergeCell ref="I367:I368"/>
    <mergeCell ref="J367:J368"/>
    <mergeCell ref="A369:A373"/>
    <mergeCell ref="B369:B373"/>
    <mergeCell ref="C369:C373"/>
    <mergeCell ref="D369:D373"/>
    <mergeCell ref="E369:E373"/>
    <mergeCell ref="F369:F373"/>
    <mergeCell ref="G378:G379"/>
    <mergeCell ref="H378:H379"/>
    <mergeCell ref="I378:I379"/>
    <mergeCell ref="J378:J379"/>
    <mergeCell ref="A385:A387"/>
    <mergeCell ref="B385:B387"/>
    <mergeCell ref="C385:C387"/>
    <mergeCell ref="D385:D387"/>
    <mergeCell ref="E385:E387"/>
    <mergeCell ref="F385:F387"/>
    <mergeCell ref="G375:G376"/>
    <mergeCell ref="H375:H376"/>
    <mergeCell ref="I375:I376"/>
    <mergeCell ref="J375:J376"/>
    <mergeCell ref="A378:A379"/>
    <mergeCell ref="B378:B379"/>
    <mergeCell ref="C378:C379"/>
    <mergeCell ref="D378:D379"/>
    <mergeCell ref="E378:E379"/>
    <mergeCell ref="F378:F379"/>
    <mergeCell ref="G389:G391"/>
    <mergeCell ref="H389:H391"/>
    <mergeCell ref="I389:I391"/>
    <mergeCell ref="J389:J391"/>
    <mergeCell ref="A392:A395"/>
    <mergeCell ref="B392:B395"/>
    <mergeCell ref="C392:C395"/>
    <mergeCell ref="D392:D395"/>
    <mergeCell ref="E392:E395"/>
    <mergeCell ref="F392:F395"/>
    <mergeCell ref="G385:G387"/>
    <mergeCell ref="H385:H387"/>
    <mergeCell ref="I385:I387"/>
    <mergeCell ref="J385:J387"/>
    <mergeCell ref="A389:A391"/>
    <mergeCell ref="B389:B391"/>
    <mergeCell ref="C389:C391"/>
    <mergeCell ref="D389:D391"/>
    <mergeCell ref="E389:E391"/>
    <mergeCell ref="F389:F391"/>
    <mergeCell ref="G396:G398"/>
    <mergeCell ref="H396:H398"/>
    <mergeCell ref="I396:I398"/>
    <mergeCell ref="J396:J398"/>
    <mergeCell ref="A399:A400"/>
    <mergeCell ref="B399:B400"/>
    <mergeCell ref="C399:C400"/>
    <mergeCell ref="D399:D400"/>
    <mergeCell ref="E399:E400"/>
    <mergeCell ref="F399:F400"/>
    <mergeCell ref="G392:G395"/>
    <mergeCell ref="H392:H395"/>
    <mergeCell ref="I392:I395"/>
    <mergeCell ref="J392:J395"/>
    <mergeCell ref="A396:A398"/>
    <mergeCell ref="B396:B398"/>
    <mergeCell ref="C396:C398"/>
    <mergeCell ref="D396:D398"/>
    <mergeCell ref="E396:E398"/>
    <mergeCell ref="F396:F398"/>
    <mergeCell ref="G401:G403"/>
    <mergeCell ref="H401:H403"/>
    <mergeCell ref="I401:I403"/>
    <mergeCell ref="J401:J403"/>
    <mergeCell ref="A405:A408"/>
    <mergeCell ref="B405:B408"/>
    <mergeCell ref="C405:C408"/>
    <mergeCell ref="D405:D408"/>
    <mergeCell ref="E405:E408"/>
    <mergeCell ref="F405:F408"/>
    <mergeCell ref="G399:G400"/>
    <mergeCell ref="H399:H400"/>
    <mergeCell ref="I399:I400"/>
    <mergeCell ref="J399:J400"/>
    <mergeCell ref="A401:A403"/>
    <mergeCell ref="B401:B403"/>
    <mergeCell ref="C401:C403"/>
    <mergeCell ref="D401:D403"/>
    <mergeCell ref="E401:E403"/>
    <mergeCell ref="F401:F403"/>
    <mergeCell ref="G409:G411"/>
    <mergeCell ref="H409:H411"/>
    <mergeCell ref="I409:I411"/>
    <mergeCell ref="J409:J411"/>
    <mergeCell ref="A412:A413"/>
    <mergeCell ref="B412:B413"/>
    <mergeCell ref="C412:C413"/>
    <mergeCell ref="D412:D413"/>
    <mergeCell ref="E412:E413"/>
    <mergeCell ref="F412:F413"/>
    <mergeCell ref="G405:G408"/>
    <mergeCell ref="H405:H408"/>
    <mergeCell ref="I405:I408"/>
    <mergeCell ref="J405:J408"/>
    <mergeCell ref="A409:A411"/>
    <mergeCell ref="B409:B411"/>
    <mergeCell ref="C409:C411"/>
    <mergeCell ref="D409:D411"/>
    <mergeCell ref="E409:E411"/>
    <mergeCell ref="F409:F411"/>
    <mergeCell ref="G414:G416"/>
    <mergeCell ref="H414:H416"/>
    <mergeCell ref="I414:I416"/>
    <mergeCell ref="J414:J416"/>
    <mergeCell ref="A417:A418"/>
    <mergeCell ref="B417:B418"/>
    <mergeCell ref="C417:C418"/>
    <mergeCell ref="D417:D418"/>
    <mergeCell ref="E417:E418"/>
    <mergeCell ref="F417:F418"/>
    <mergeCell ref="G412:G413"/>
    <mergeCell ref="H412:H413"/>
    <mergeCell ref="I412:I413"/>
    <mergeCell ref="J412:J413"/>
    <mergeCell ref="A414:A416"/>
    <mergeCell ref="B414:B416"/>
    <mergeCell ref="C414:C416"/>
    <mergeCell ref="D414:D416"/>
    <mergeCell ref="E414:E416"/>
    <mergeCell ref="F414:F416"/>
    <mergeCell ref="G420:G465"/>
    <mergeCell ref="H420:H465"/>
    <mergeCell ref="I420:I465"/>
    <mergeCell ref="J420:J465"/>
    <mergeCell ref="A466:A467"/>
    <mergeCell ref="B466:B467"/>
    <mergeCell ref="C466:C467"/>
    <mergeCell ref="D466:D467"/>
    <mergeCell ref="E466:E467"/>
    <mergeCell ref="F466:F467"/>
    <mergeCell ref="G417:G418"/>
    <mergeCell ref="H417:H418"/>
    <mergeCell ref="I417:I418"/>
    <mergeCell ref="J417:J418"/>
    <mergeCell ref="A420:A465"/>
    <mergeCell ref="B420:B465"/>
    <mergeCell ref="C420:C465"/>
    <mergeCell ref="D420:D465"/>
    <mergeCell ref="E420:E465"/>
    <mergeCell ref="F420:F465"/>
    <mergeCell ref="G471:G477"/>
    <mergeCell ref="H471:H477"/>
    <mergeCell ref="I471:I477"/>
    <mergeCell ref="J471:J477"/>
    <mergeCell ref="A479:A483"/>
    <mergeCell ref="B479:B483"/>
    <mergeCell ref="C479:C483"/>
    <mergeCell ref="D479:D483"/>
    <mergeCell ref="E479:E483"/>
    <mergeCell ref="F479:F483"/>
    <mergeCell ref="G466:G467"/>
    <mergeCell ref="H466:H467"/>
    <mergeCell ref="I466:I467"/>
    <mergeCell ref="J466:J467"/>
    <mergeCell ref="A471:A477"/>
    <mergeCell ref="B471:B477"/>
    <mergeCell ref="C471:C477"/>
    <mergeCell ref="D471:D477"/>
    <mergeCell ref="E471:E477"/>
    <mergeCell ref="F471:F477"/>
    <mergeCell ref="G487:G488"/>
    <mergeCell ref="H487:H488"/>
    <mergeCell ref="I487:I488"/>
    <mergeCell ref="J487:J488"/>
    <mergeCell ref="A490:A491"/>
    <mergeCell ref="B490:B491"/>
    <mergeCell ref="C490:C491"/>
    <mergeCell ref="D490:D491"/>
    <mergeCell ref="E490:E491"/>
    <mergeCell ref="F490:F491"/>
    <mergeCell ref="G479:G483"/>
    <mergeCell ref="H479:H483"/>
    <mergeCell ref="I479:I483"/>
    <mergeCell ref="J479:J483"/>
    <mergeCell ref="A487:A488"/>
    <mergeCell ref="B487:B488"/>
    <mergeCell ref="C487:C488"/>
    <mergeCell ref="D487:D488"/>
    <mergeCell ref="E487:E488"/>
    <mergeCell ref="F487:F488"/>
    <mergeCell ref="G492:G493"/>
    <mergeCell ref="H492:H493"/>
    <mergeCell ref="I492:I493"/>
    <mergeCell ref="J492:J493"/>
    <mergeCell ref="A495:A497"/>
    <mergeCell ref="B495:B497"/>
    <mergeCell ref="C495:C497"/>
    <mergeCell ref="D495:D497"/>
    <mergeCell ref="E495:E497"/>
    <mergeCell ref="F495:F497"/>
    <mergeCell ref="G490:G491"/>
    <mergeCell ref="H490:H491"/>
    <mergeCell ref="I490:I491"/>
    <mergeCell ref="J490:J491"/>
    <mergeCell ref="A492:A493"/>
    <mergeCell ref="B492:B493"/>
    <mergeCell ref="C492:C493"/>
    <mergeCell ref="D492:D493"/>
    <mergeCell ref="E492:E493"/>
    <mergeCell ref="F492:F493"/>
    <mergeCell ref="G499:G500"/>
    <mergeCell ref="H499:H500"/>
    <mergeCell ref="I499:I500"/>
    <mergeCell ref="J499:J500"/>
    <mergeCell ref="A501:A502"/>
    <mergeCell ref="B501:B502"/>
    <mergeCell ref="C501:C502"/>
    <mergeCell ref="D501:D502"/>
    <mergeCell ref="E501:E502"/>
    <mergeCell ref="F501:F502"/>
    <mergeCell ref="G495:G497"/>
    <mergeCell ref="H495:H497"/>
    <mergeCell ref="I495:I497"/>
    <mergeCell ref="J495:J497"/>
    <mergeCell ref="A499:A500"/>
    <mergeCell ref="B499:B500"/>
    <mergeCell ref="C499:C500"/>
    <mergeCell ref="D499:D500"/>
    <mergeCell ref="E499:E500"/>
    <mergeCell ref="F499:F500"/>
    <mergeCell ref="G503:G504"/>
    <mergeCell ref="H503:H504"/>
    <mergeCell ref="I503:I504"/>
    <mergeCell ref="J503:J504"/>
    <mergeCell ref="A505:A506"/>
    <mergeCell ref="B505:B506"/>
    <mergeCell ref="C505:C506"/>
    <mergeCell ref="D505:D506"/>
    <mergeCell ref="E505:E506"/>
    <mergeCell ref="F505:F506"/>
    <mergeCell ref="G501:G502"/>
    <mergeCell ref="H501:H502"/>
    <mergeCell ref="I501:I502"/>
    <mergeCell ref="J501:J502"/>
    <mergeCell ref="A503:A504"/>
    <mergeCell ref="B503:B504"/>
    <mergeCell ref="C503:C504"/>
    <mergeCell ref="D503:D504"/>
    <mergeCell ref="E503:E504"/>
    <mergeCell ref="F503:F504"/>
    <mergeCell ref="G509:G510"/>
    <mergeCell ref="H509:H510"/>
    <mergeCell ref="I509:I510"/>
    <mergeCell ref="J509:J510"/>
    <mergeCell ref="A511:A512"/>
    <mergeCell ref="B511:B512"/>
    <mergeCell ref="C511:C512"/>
    <mergeCell ref="D511:D512"/>
    <mergeCell ref="E511:E512"/>
    <mergeCell ref="F511:F512"/>
    <mergeCell ref="G505:G506"/>
    <mergeCell ref="H505:H506"/>
    <mergeCell ref="I505:I506"/>
    <mergeCell ref="J505:J506"/>
    <mergeCell ref="A509:A510"/>
    <mergeCell ref="B509:B510"/>
    <mergeCell ref="C509:C510"/>
    <mergeCell ref="D509:D510"/>
    <mergeCell ref="E509:E510"/>
    <mergeCell ref="F509:F510"/>
    <mergeCell ref="G513:G514"/>
    <mergeCell ref="H513:H514"/>
    <mergeCell ref="I513:I514"/>
    <mergeCell ref="J513:J514"/>
    <mergeCell ref="A516:A517"/>
    <mergeCell ref="B516:B517"/>
    <mergeCell ref="C516:C517"/>
    <mergeCell ref="D516:D517"/>
    <mergeCell ref="E516:E517"/>
    <mergeCell ref="F516:F517"/>
    <mergeCell ref="G511:G512"/>
    <mergeCell ref="H511:H512"/>
    <mergeCell ref="I511:I512"/>
    <mergeCell ref="J511:J512"/>
    <mergeCell ref="A513:A514"/>
    <mergeCell ref="B513:B514"/>
    <mergeCell ref="C513:C514"/>
    <mergeCell ref="D513:D514"/>
    <mergeCell ref="E513:E514"/>
    <mergeCell ref="F513:F514"/>
    <mergeCell ref="G519:G520"/>
    <mergeCell ref="H519:H520"/>
    <mergeCell ref="I519:I520"/>
    <mergeCell ref="J519:J520"/>
    <mergeCell ref="A521:A524"/>
    <mergeCell ref="B521:B524"/>
    <mergeCell ref="C521:C524"/>
    <mergeCell ref="D521:D524"/>
    <mergeCell ref="E521:E524"/>
    <mergeCell ref="F521:F524"/>
    <mergeCell ref="G516:G517"/>
    <mergeCell ref="H516:H517"/>
    <mergeCell ref="I516:I517"/>
    <mergeCell ref="J516:J517"/>
    <mergeCell ref="A519:A520"/>
    <mergeCell ref="B519:B520"/>
    <mergeCell ref="C519:C520"/>
    <mergeCell ref="D519:D520"/>
    <mergeCell ref="E519:E520"/>
    <mergeCell ref="F519:F520"/>
    <mergeCell ref="G525:G528"/>
    <mergeCell ref="H525:H528"/>
    <mergeCell ref="I525:I528"/>
    <mergeCell ref="J525:J528"/>
    <mergeCell ref="A529:A530"/>
    <mergeCell ref="B529:B530"/>
    <mergeCell ref="C529:C530"/>
    <mergeCell ref="D529:D530"/>
    <mergeCell ref="E529:E530"/>
    <mergeCell ref="F529:F530"/>
    <mergeCell ref="G521:G524"/>
    <mergeCell ref="H521:H524"/>
    <mergeCell ref="I521:I524"/>
    <mergeCell ref="J521:J524"/>
    <mergeCell ref="A525:A528"/>
    <mergeCell ref="B525:B528"/>
    <mergeCell ref="C525:C528"/>
    <mergeCell ref="D525:D528"/>
    <mergeCell ref="E525:E528"/>
    <mergeCell ref="F525:F528"/>
    <mergeCell ref="G531:G532"/>
    <mergeCell ref="H531:H532"/>
    <mergeCell ref="I531:I532"/>
    <mergeCell ref="J531:J532"/>
    <mergeCell ref="A534:A535"/>
    <mergeCell ref="B534:B535"/>
    <mergeCell ref="C534:C535"/>
    <mergeCell ref="D534:D535"/>
    <mergeCell ref="E534:E535"/>
    <mergeCell ref="F534:F535"/>
    <mergeCell ref="G529:G530"/>
    <mergeCell ref="H529:H530"/>
    <mergeCell ref="I529:I530"/>
    <mergeCell ref="J529:J530"/>
    <mergeCell ref="A531:A532"/>
    <mergeCell ref="B531:B532"/>
    <mergeCell ref="C531:C532"/>
    <mergeCell ref="D531:D532"/>
    <mergeCell ref="E531:E532"/>
    <mergeCell ref="F531:F532"/>
    <mergeCell ref="G536:G538"/>
    <mergeCell ref="H536:H538"/>
    <mergeCell ref="I536:I538"/>
    <mergeCell ref="J536:J538"/>
    <mergeCell ref="A539:A540"/>
    <mergeCell ref="B539:B540"/>
    <mergeCell ref="C539:C540"/>
    <mergeCell ref="D539:D540"/>
    <mergeCell ref="E539:E540"/>
    <mergeCell ref="F539:F540"/>
    <mergeCell ref="G534:G535"/>
    <mergeCell ref="H534:H535"/>
    <mergeCell ref="I534:I535"/>
    <mergeCell ref="J534:J535"/>
    <mergeCell ref="A536:A538"/>
    <mergeCell ref="B536:B538"/>
    <mergeCell ref="C536:C538"/>
    <mergeCell ref="D536:D538"/>
    <mergeCell ref="E536:E538"/>
    <mergeCell ref="F536:F538"/>
    <mergeCell ref="G541:G543"/>
    <mergeCell ref="H541:H543"/>
    <mergeCell ref="I541:I543"/>
    <mergeCell ref="J541:J543"/>
    <mergeCell ref="A544:A545"/>
    <mergeCell ref="B544:B545"/>
    <mergeCell ref="C544:C545"/>
    <mergeCell ref="D544:D545"/>
    <mergeCell ref="E544:E545"/>
    <mergeCell ref="F544:F545"/>
    <mergeCell ref="G539:G540"/>
    <mergeCell ref="H539:H540"/>
    <mergeCell ref="I539:I540"/>
    <mergeCell ref="J539:J540"/>
    <mergeCell ref="A541:A543"/>
    <mergeCell ref="B541:B543"/>
    <mergeCell ref="C541:C543"/>
    <mergeCell ref="D541:D543"/>
    <mergeCell ref="E541:E543"/>
    <mergeCell ref="F541:F543"/>
    <mergeCell ref="G546:G551"/>
    <mergeCell ref="H546:H551"/>
    <mergeCell ref="I546:I551"/>
    <mergeCell ref="J546:J551"/>
    <mergeCell ref="A552:A553"/>
    <mergeCell ref="B552:B553"/>
    <mergeCell ref="C552:C553"/>
    <mergeCell ref="D552:D553"/>
    <mergeCell ref="E552:E553"/>
    <mergeCell ref="F552:F553"/>
    <mergeCell ref="G544:G545"/>
    <mergeCell ref="H544:H545"/>
    <mergeCell ref="I544:I545"/>
    <mergeCell ref="J544:J545"/>
    <mergeCell ref="A546:A551"/>
    <mergeCell ref="B546:B551"/>
    <mergeCell ref="C546:C551"/>
    <mergeCell ref="D546:D551"/>
    <mergeCell ref="E546:E551"/>
    <mergeCell ref="F546:F551"/>
    <mergeCell ref="G554:G557"/>
    <mergeCell ref="H554:H557"/>
    <mergeCell ref="I554:I557"/>
    <mergeCell ref="J554:J557"/>
    <mergeCell ref="A558:A559"/>
    <mergeCell ref="B558:B559"/>
    <mergeCell ref="C558:C559"/>
    <mergeCell ref="D558:D559"/>
    <mergeCell ref="E558:E559"/>
    <mergeCell ref="F558:F559"/>
    <mergeCell ref="G552:G553"/>
    <mergeCell ref="H552:H553"/>
    <mergeCell ref="I552:I553"/>
    <mergeCell ref="J552:J553"/>
    <mergeCell ref="A554:A557"/>
    <mergeCell ref="B554:B557"/>
    <mergeCell ref="C554:C557"/>
    <mergeCell ref="D554:D557"/>
    <mergeCell ref="E554:E557"/>
    <mergeCell ref="F554:F557"/>
    <mergeCell ref="G562:G564"/>
    <mergeCell ref="H562:H564"/>
    <mergeCell ref="I562:I564"/>
    <mergeCell ref="J562:J564"/>
    <mergeCell ref="A570:A572"/>
    <mergeCell ref="B570:B572"/>
    <mergeCell ref="C570:C572"/>
    <mergeCell ref="D570:D572"/>
    <mergeCell ref="E570:E572"/>
    <mergeCell ref="F570:F572"/>
    <mergeCell ref="G558:G559"/>
    <mergeCell ref="H558:H559"/>
    <mergeCell ref="I558:I559"/>
    <mergeCell ref="J558:J559"/>
    <mergeCell ref="A562:A564"/>
    <mergeCell ref="B562:B564"/>
    <mergeCell ref="C562:C564"/>
    <mergeCell ref="D562:D564"/>
    <mergeCell ref="E562:E564"/>
    <mergeCell ref="F562:F564"/>
    <mergeCell ref="G586:G590"/>
    <mergeCell ref="H586:H590"/>
    <mergeCell ref="I586:I590"/>
    <mergeCell ref="J586:J590"/>
    <mergeCell ref="G573:G584"/>
    <mergeCell ref="H573:H584"/>
    <mergeCell ref="I573:I584"/>
    <mergeCell ref="J573:J584"/>
    <mergeCell ref="A586:A590"/>
    <mergeCell ref="B586:B590"/>
    <mergeCell ref="C586:C590"/>
    <mergeCell ref="D586:D590"/>
    <mergeCell ref="E586:E590"/>
    <mergeCell ref="F586:F590"/>
    <mergeCell ref="G570:G572"/>
    <mergeCell ref="H570:H572"/>
    <mergeCell ref="I570:I572"/>
    <mergeCell ref="J570:J572"/>
    <mergeCell ref="A573:A584"/>
    <mergeCell ref="B573:B584"/>
    <mergeCell ref="C573:C584"/>
    <mergeCell ref="D573:D584"/>
    <mergeCell ref="E573:E584"/>
    <mergeCell ref="F573:F584"/>
  </mergeCells>
  <conditionalFormatting sqref="A95">
    <cfRule type="duplicateValues" dxfId="80" priority="81"/>
  </conditionalFormatting>
  <conditionalFormatting sqref="A130">
    <cfRule type="duplicateValues" dxfId="79" priority="79"/>
  </conditionalFormatting>
  <conditionalFormatting sqref="A143">
    <cfRule type="duplicateValues" dxfId="78" priority="78"/>
  </conditionalFormatting>
  <conditionalFormatting sqref="A148">
    <cfRule type="duplicateValues" dxfId="77" priority="77"/>
  </conditionalFormatting>
  <conditionalFormatting sqref="A151">
    <cfRule type="duplicateValues" dxfId="76" priority="76"/>
  </conditionalFormatting>
  <conditionalFormatting sqref="A152">
    <cfRule type="duplicateValues" dxfId="75" priority="75"/>
  </conditionalFormatting>
  <conditionalFormatting sqref="A153">
    <cfRule type="duplicateValues" dxfId="74" priority="74"/>
  </conditionalFormatting>
  <conditionalFormatting sqref="A154">
    <cfRule type="duplicateValues" dxfId="73" priority="73"/>
  </conditionalFormatting>
  <conditionalFormatting sqref="A189">
    <cfRule type="duplicateValues" dxfId="72" priority="72"/>
  </conditionalFormatting>
  <conditionalFormatting sqref="A190">
    <cfRule type="duplicateValues" dxfId="71" priority="71"/>
  </conditionalFormatting>
  <conditionalFormatting sqref="A193">
    <cfRule type="duplicateValues" dxfId="70" priority="70"/>
  </conditionalFormatting>
  <conditionalFormatting sqref="A195">
    <cfRule type="duplicateValues" dxfId="69" priority="69"/>
  </conditionalFormatting>
  <conditionalFormatting sqref="A215">
    <cfRule type="duplicateValues" dxfId="68" priority="68"/>
  </conditionalFormatting>
  <conditionalFormatting sqref="A216">
    <cfRule type="duplicateValues" dxfId="67" priority="67"/>
  </conditionalFormatting>
  <conditionalFormatting sqref="A220">
    <cfRule type="duplicateValues" dxfId="66" priority="66"/>
  </conditionalFormatting>
  <conditionalFormatting sqref="A221">
    <cfRule type="duplicateValues" dxfId="65" priority="65"/>
  </conditionalFormatting>
  <conditionalFormatting sqref="A226">
    <cfRule type="duplicateValues" dxfId="64" priority="64"/>
  </conditionalFormatting>
  <conditionalFormatting sqref="A235">
    <cfRule type="duplicateValues" dxfId="63" priority="63"/>
  </conditionalFormatting>
  <conditionalFormatting sqref="A236">
    <cfRule type="duplicateValues" dxfId="62" priority="62"/>
  </conditionalFormatting>
  <conditionalFormatting sqref="A237">
    <cfRule type="duplicateValues" dxfId="61" priority="61"/>
  </conditionalFormatting>
  <conditionalFormatting sqref="A244">
    <cfRule type="duplicateValues" dxfId="60" priority="60"/>
  </conditionalFormatting>
  <conditionalFormatting sqref="A245">
    <cfRule type="duplicateValues" dxfId="59" priority="59"/>
  </conditionalFormatting>
  <conditionalFormatting sqref="A246">
    <cfRule type="duplicateValues" dxfId="58" priority="58"/>
  </conditionalFormatting>
  <conditionalFormatting sqref="A247">
    <cfRule type="duplicateValues" dxfId="57" priority="57"/>
  </conditionalFormatting>
  <conditionalFormatting sqref="A248">
    <cfRule type="duplicateValues" dxfId="56" priority="56"/>
  </conditionalFormatting>
  <conditionalFormatting sqref="A251">
    <cfRule type="duplicateValues" dxfId="55" priority="55"/>
  </conditionalFormatting>
  <conditionalFormatting sqref="A325">
    <cfRule type="duplicateValues" dxfId="54" priority="54"/>
  </conditionalFormatting>
  <conditionalFormatting sqref="A329">
    <cfRule type="duplicateValues" dxfId="53" priority="53"/>
  </conditionalFormatting>
  <conditionalFormatting sqref="A330">
    <cfRule type="duplicateValues" dxfId="52" priority="52"/>
  </conditionalFormatting>
  <conditionalFormatting sqref="A331">
    <cfRule type="duplicateValues" dxfId="51" priority="51"/>
  </conditionalFormatting>
  <conditionalFormatting sqref="A338">
    <cfRule type="duplicateValues" dxfId="50" priority="50"/>
  </conditionalFormatting>
  <conditionalFormatting sqref="A339">
    <cfRule type="duplicateValues" dxfId="49" priority="49"/>
  </conditionalFormatting>
  <conditionalFormatting sqref="A340">
    <cfRule type="duplicateValues" dxfId="48" priority="48"/>
  </conditionalFormatting>
  <conditionalFormatting sqref="A341">
    <cfRule type="duplicateValues" dxfId="47" priority="47"/>
  </conditionalFormatting>
  <conditionalFormatting sqref="A346">
    <cfRule type="duplicateValues" dxfId="46" priority="46"/>
  </conditionalFormatting>
  <conditionalFormatting sqref="A347">
    <cfRule type="duplicateValues" dxfId="45" priority="45"/>
  </conditionalFormatting>
  <conditionalFormatting sqref="A348">
    <cfRule type="duplicateValues" dxfId="44" priority="44"/>
  </conditionalFormatting>
  <conditionalFormatting sqref="A349">
    <cfRule type="duplicateValues" dxfId="43" priority="43"/>
  </conditionalFormatting>
  <conditionalFormatting sqref="A350">
    <cfRule type="duplicateValues" dxfId="42" priority="42"/>
  </conditionalFormatting>
  <conditionalFormatting sqref="A351">
    <cfRule type="duplicateValues" dxfId="41" priority="41"/>
  </conditionalFormatting>
  <conditionalFormatting sqref="A360">
    <cfRule type="duplicateValues" dxfId="40" priority="40"/>
  </conditionalFormatting>
  <conditionalFormatting sqref="A361">
    <cfRule type="duplicateValues" dxfId="39" priority="39"/>
  </conditionalFormatting>
  <conditionalFormatting sqref="A362">
    <cfRule type="duplicateValues" dxfId="38" priority="38"/>
  </conditionalFormatting>
  <conditionalFormatting sqref="A374">
    <cfRule type="duplicateValues" dxfId="37" priority="37"/>
  </conditionalFormatting>
  <conditionalFormatting sqref="A377">
    <cfRule type="duplicateValues" dxfId="36" priority="36"/>
  </conditionalFormatting>
  <conditionalFormatting sqref="A380">
    <cfRule type="duplicateValues" dxfId="35" priority="35"/>
  </conditionalFormatting>
  <conditionalFormatting sqref="A381">
    <cfRule type="duplicateValues" dxfId="34" priority="34"/>
  </conditionalFormatting>
  <conditionalFormatting sqref="A382">
    <cfRule type="duplicateValues" dxfId="33" priority="33"/>
  </conditionalFormatting>
  <conditionalFormatting sqref="A383">
    <cfRule type="duplicateValues" dxfId="32" priority="32"/>
  </conditionalFormatting>
  <conditionalFormatting sqref="A384">
    <cfRule type="duplicateValues" dxfId="31" priority="31"/>
  </conditionalFormatting>
  <conditionalFormatting sqref="A388">
    <cfRule type="duplicateValues" dxfId="30" priority="30"/>
  </conditionalFormatting>
  <conditionalFormatting sqref="A404">
    <cfRule type="duplicateValues" dxfId="29" priority="29"/>
  </conditionalFormatting>
  <conditionalFormatting sqref="A419">
    <cfRule type="duplicateValues" dxfId="28" priority="28"/>
  </conditionalFormatting>
  <conditionalFormatting sqref="A468">
    <cfRule type="duplicateValues" dxfId="27" priority="27"/>
  </conditionalFormatting>
  <conditionalFormatting sqref="A469">
    <cfRule type="duplicateValues" dxfId="26" priority="26"/>
  </conditionalFormatting>
  <conditionalFormatting sqref="A470">
    <cfRule type="duplicateValues" dxfId="25" priority="25"/>
  </conditionalFormatting>
  <conditionalFormatting sqref="A478">
    <cfRule type="duplicateValues" dxfId="24" priority="24"/>
  </conditionalFormatting>
  <conditionalFormatting sqref="A484">
    <cfRule type="duplicateValues" dxfId="23" priority="23"/>
  </conditionalFormatting>
  <conditionalFormatting sqref="A485">
    <cfRule type="duplicateValues" dxfId="22" priority="22"/>
  </conditionalFormatting>
  <conditionalFormatting sqref="A486">
    <cfRule type="duplicateValues" dxfId="21" priority="21"/>
  </conditionalFormatting>
  <conditionalFormatting sqref="A489">
    <cfRule type="duplicateValues" dxfId="20" priority="20"/>
  </conditionalFormatting>
  <conditionalFormatting sqref="A494">
    <cfRule type="duplicateValues" dxfId="19" priority="19"/>
  </conditionalFormatting>
  <conditionalFormatting sqref="A498">
    <cfRule type="duplicateValues" dxfId="18" priority="18"/>
  </conditionalFormatting>
  <conditionalFormatting sqref="A507">
    <cfRule type="duplicateValues" dxfId="17" priority="17"/>
  </conditionalFormatting>
  <conditionalFormatting sqref="A508">
    <cfRule type="duplicateValues" dxfId="16" priority="16"/>
  </conditionalFormatting>
  <conditionalFormatting sqref="A515">
    <cfRule type="duplicateValues" dxfId="15" priority="15"/>
  </conditionalFormatting>
  <conditionalFormatting sqref="A518">
    <cfRule type="duplicateValues" dxfId="14" priority="14"/>
  </conditionalFormatting>
  <conditionalFormatting sqref="A533">
    <cfRule type="duplicateValues" dxfId="13" priority="13"/>
  </conditionalFormatting>
  <conditionalFormatting sqref="A560">
    <cfRule type="duplicateValues" dxfId="12" priority="12"/>
  </conditionalFormatting>
  <conditionalFormatting sqref="A561">
    <cfRule type="duplicateValues" dxfId="11" priority="11"/>
  </conditionalFormatting>
  <conditionalFormatting sqref="A565">
    <cfRule type="duplicateValues" dxfId="10" priority="10"/>
  </conditionalFormatting>
  <conditionalFormatting sqref="A566">
    <cfRule type="duplicateValues" dxfId="9" priority="9"/>
  </conditionalFormatting>
  <conditionalFormatting sqref="A567">
    <cfRule type="duplicateValues" dxfId="8" priority="8"/>
  </conditionalFormatting>
  <conditionalFormatting sqref="A568">
    <cfRule type="duplicateValues" dxfId="7" priority="7"/>
  </conditionalFormatting>
  <conditionalFormatting sqref="A569">
    <cfRule type="duplicateValues" dxfId="6" priority="6"/>
  </conditionalFormatting>
  <conditionalFormatting sqref="A585">
    <cfRule type="duplicateValues" dxfId="5" priority="5"/>
  </conditionalFormatting>
  <conditionalFormatting sqref="A591">
    <cfRule type="duplicateValues" dxfId="4" priority="4"/>
  </conditionalFormatting>
  <conditionalFormatting sqref="A592">
    <cfRule type="duplicateValues" dxfId="3" priority="3"/>
  </conditionalFormatting>
  <conditionalFormatting sqref="A96:J96">
    <cfRule type="duplicateValues" dxfId="2" priority="80"/>
  </conditionalFormatting>
  <conditionalFormatting sqref="J2:J4">
    <cfRule type="expression" dxfId="1" priority="2">
      <formula>J2&lt;TODAY()</formula>
    </cfRule>
  </conditionalFormatting>
  <conditionalFormatting sqref="J5:J592">
    <cfRule type="expression" dxfId="0" priority="1">
      <formula>J5&lt;TODAY()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Ingeniero Forestal</dc:creator>
  <cp:lastModifiedBy>Alejandra Valderrama Moreno</cp:lastModifiedBy>
  <dcterms:created xsi:type="dcterms:W3CDTF">2025-10-29T21:12:37Z</dcterms:created>
  <dcterms:modified xsi:type="dcterms:W3CDTF">2025-10-31T19:08:41Z</dcterms:modified>
</cp:coreProperties>
</file>